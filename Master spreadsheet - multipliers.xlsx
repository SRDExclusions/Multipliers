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yanda Baduza\Documents\"/>
    </mc:Choice>
  </mc:AlternateContent>
  <bookViews>
    <workbookView xWindow="0" yWindow="0" windowWidth="23040" windowHeight="9072" activeTab="2"/>
  </bookViews>
  <sheets>
    <sheet name="Expenditure - National" sheetId="1" r:id="rId1"/>
    <sheet name="Sheet3" sheetId="6" r:id="rId2"/>
    <sheet name="Deflated data" sheetId="5" r:id="rId3"/>
    <sheet name="Sheet2" sheetId="4" r:id="rId4"/>
    <sheet name="Expenditure - Provinicial" sheetId="2" r:id="rId5"/>
    <sheet name="Number of beneficaries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5" l="1"/>
  <c r="E32" i="5"/>
  <c r="E31" i="5"/>
  <c r="F33" i="5"/>
  <c r="F32" i="5"/>
  <c r="F31" i="5"/>
  <c r="D33" i="5"/>
  <c r="D32" i="5"/>
  <c r="D31" i="5"/>
  <c r="C33" i="5"/>
  <c r="C32" i="5"/>
  <c r="C31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3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3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3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" i="5"/>
  <c r="L5" i="5"/>
  <c r="F5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H50" i="1" l="1"/>
  <c r="H51" i="1"/>
  <c r="H52" i="1"/>
  <c r="H53" i="1"/>
  <c r="H54" i="1"/>
  <c r="H55" i="1"/>
  <c r="H56" i="1"/>
  <c r="H57" i="1"/>
  <c r="H49" i="1"/>
  <c r="G51" i="1"/>
  <c r="G52" i="1"/>
  <c r="G53" i="1"/>
  <c r="G54" i="1"/>
  <c r="G55" i="1"/>
  <c r="G56" i="1"/>
  <c r="G57" i="1"/>
  <c r="F57" i="1"/>
  <c r="F51" i="1"/>
  <c r="F52" i="1"/>
  <c r="F53" i="1"/>
  <c r="F54" i="1"/>
  <c r="F55" i="1"/>
  <c r="F56" i="1"/>
  <c r="E51" i="1"/>
  <c r="E52" i="1"/>
  <c r="E53" i="1"/>
  <c r="E54" i="1"/>
  <c r="E55" i="1"/>
  <c r="E56" i="1"/>
  <c r="E57" i="1"/>
  <c r="D51" i="1"/>
  <c r="D52" i="1"/>
  <c r="D53" i="1"/>
  <c r="D54" i="1"/>
  <c r="D55" i="1"/>
  <c r="D56" i="1"/>
  <c r="D57" i="1"/>
  <c r="C52" i="1"/>
  <c r="C53" i="1"/>
  <c r="C54" i="1"/>
  <c r="C55" i="1"/>
  <c r="C56" i="1"/>
  <c r="C57" i="1"/>
  <c r="C49" i="1"/>
  <c r="C51" i="1"/>
  <c r="G50" i="1"/>
  <c r="F50" i="1"/>
  <c r="E50" i="1"/>
  <c r="D50" i="1"/>
  <c r="C50" i="1"/>
  <c r="G49" i="1"/>
  <c r="F49" i="1"/>
  <c r="E49" i="1"/>
  <c r="D49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G45" i="1"/>
  <c r="G44" i="1"/>
  <c r="G43" i="1"/>
  <c r="G42" i="1"/>
  <c r="G41" i="1"/>
  <c r="G40" i="1"/>
  <c r="G39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G38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H37" i="1"/>
  <c r="I37" i="1"/>
  <c r="J37" i="1"/>
  <c r="K37" i="1"/>
  <c r="L37" i="1"/>
  <c r="M37" i="1"/>
  <c r="N37" i="1"/>
  <c r="O37" i="1"/>
  <c r="G37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F34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F33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F32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F31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F30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F29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F28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G27" i="1"/>
  <c r="H27" i="1"/>
  <c r="I27" i="1"/>
  <c r="J27" i="1"/>
  <c r="K27" i="1"/>
  <c r="L27" i="1"/>
  <c r="M27" i="1"/>
  <c r="N27" i="1"/>
  <c r="O27" i="1"/>
  <c r="F27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F25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G24" i="1"/>
  <c r="F24" i="1"/>
  <c r="I15" i="1"/>
  <c r="I16" i="1"/>
  <c r="I17" i="1"/>
  <c r="AF4" i="2" l="1"/>
  <c r="AF5" i="2"/>
  <c r="AF6" i="2"/>
  <c r="AF7" i="2"/>
  <c r="AF8" i="2"/>
  <c r="AF9" i="2"/>
  <c r="AF10" i="2"/>
  <c r="AE4" i="2"/>
  <c r="AE5" i="2"/>
  <c r="AE6" i="2"/>
  <c r="AE7" i="2"/>
  <c r="AE8" i="2"/>
  <c r="AE9" i="2"/>
  <c r="AE10" i="2"/>
  <c r="AD4" i="2"/>
  <c r="AD5" i="2"/>
  <c r="AD6" i="2"/>
  <c r="AD7" i="2"/>
  <c r="AD8" i="2"/>
  <c r="AD9" i="2"/>
  <c r="AD10" i="2"/>
  <c r="AE3" i="2"/>
  <c r="AF3" i="2"/>
  <c r="AD3" i="2"/>
  <c r="AC9" i="2"/>
  <c r="AC8" i="2"/>
  <c r="AC7" i="2"/>
  <c r="AC6" i="2"/>
  <c r="AC5" i="2"/>
  <c r="AC4" i="2"/>
  <c r="AC3" i="2"/>
  <c r="AB9" i="2"/>
  <c r="AB8" i="2"/>
  <c r="AB7" i="2"/>
  <c r="AB6" i="2"/>
  <c r="AB5" i="2"/>
  <c r="AB4" i="2"/>
  <c r="AB3" i="2"/>
  <c r="AA9" i="2"/>
  <c r="AA8" i="2"/>
  <c r="AA7" i="2"/>
  <c r="AA6" i="2"/>
  <c r="AA5" i="2"/>
  <c r="AA4" i="2"/>
  <c r="AA3" i="2"/>
  <c r="Z11" i="2"/>
  <c r="Z10" i="2"/>
  <c r="Z9" i="2"/>
  <c r="Z8" i="2"/>
  <c r="Z7" i="2"/>
  <c r="Z6" i="2"/>
  <c r="Z5" i="2"/>
  <c r="Z4" i="2"/>
  <c r="Z3" i="2"/>
  <c r="Z31" i="2"/>
  <c r="Z30" i="2"/>
  <c r="Y11" i="2"/>
  <c r="Y10" i="2"/>
  <c r="Y9" i="2"/>
  <c r="Y8" i="2"/>
  <c r="Y7" i="2"/>
  <c r="Y6" i="2"/>
  <c r="Y5" i="2"/>
  <c r="Y4" i="2"/>
  <c r="Y3" i="2"/>
  <c r="Y31" i="2"/>
  <c r="Y30" i="2"/>
  <c r="X11" i="2"/>
  <c r="X10" i="2"/>
  <c r="X9" i="2"/>
  <c r="X8" i="2"/>
  <c r="X7" i="2"/>
  <c r="X6" i="2"/>
  <c r="X3" i="2"/>
  <c r="X5" i="2"/>
  <c r="X4" i="2"/>
  <c r="Y26" i="2"/>
  <c r="Z14" i="2"/>
  <c r="Z15" i="2"/>
  <c r="Z16" i="2"/>
  <c r="Z17" i="2"/>
  <c r="Z18" i="2"/>
  <c r="Z19" i="2"/>
  <c r="Z20" i="2"/>
  <c r="Z13" i="2"/>
  <c r="Y14" i="2"/>
  <c r="Y15" i="2"/>
  <c r="Y16" i="2"/>
  <c r="Y17" i="2"/>
  <c r="Y18" i="2"/>
  <c r="Y19" i="2"/>
  <c r="Y20" i="2"/>
  <c r="Y13" i="2"/>
  <c r="D20" i="2"/>
  <c r="E20" i="2"/>
  <c r="F20" i="2"/>
  <c r="G20" i="2"/>
  <c r="H20" i="2"/>
  <c r="L20" i="2"/>
  <c r="M20" i="2"/>
  <c r="N20" i="2"/>
  <c r="T20" i="2"/>
  <c r="L19" i="2"/>
  <c r="T19" i="2"/>
  <c r="U19" i="2"/>
  <c r="V19" i="2"/>
  <c r="W19" i="2"/>
  <c r="D18" i="2"/>
  <c r="L18" i="2"/>
  <c r="M18" i="2"/>
  <c r="N18" i="2"/>
  <c r="O18" i="2"/>
  <c r="P18" i="2"/>
  <c r="T18" i="2"/>
  <c r="U18" i="2"/>
  <c r="V18" i="2"/>
  <c r="W18" i="2"/>
  <c r="D17" i="2"/>
  <c r="E17" i="2"/>
  <c r="F17" i="2"/>
  <c r="G17" i="2"/>
  <c r="H17" i="2"/>
  <c r="L17" i="2"/>
  <c r="M17" i="2"/>
  <c r="N17" i="2"/>
  <c r="T17" i="2"/>
  <c r="L16" i="2"/>
  <c r="T16" i="2"/>
  <c r="U16" i="2"/>
  <c r="V16" i="2"/>
  <c r="W16" i="2"/>
  <c r="D15" i="2"/>
  <c r="L15" i="2"/>
  <c r="M15" i="2"/>
  <c r="N15" i="2"/>
  <c r="O15" i="2"/>
  <c r="P15" i="2"/>
  <c r="T15" i="2"/>
  <c r="U15" i="2"/>
  <c r="V15" i="2"/>
  <c r="W15" i="2"/>
  <c r="D14" i="2"/>
  <c r="E14" i="2"/>
  <c r="F14" i="2"/>
  <c r="G14" i="2"/>
  <c r="H14" i="2"/>
  <c r="L14" i="2"/>
  <c r="M14" i="2"/>
  <c r="N14" i="2"/>
  <c r="T14" i="2"/>
  <c r="L13" i="2"/>
  <c r="M13" i="2"/>
  <c r="T13" i="2"/>
  <c r="U13" i="2"/>
  <c r="V13" i="2"/>
  <c r="W13" i="2"/>
  <c r="D13" i="2"/>
  <c r="C20" i="2"/>
  <c r="C15" i="2"/>
  <c r="C14" i="2"/>
  <c r="C13" i="2"/>
  <c r="O11" i="2"/>
  <c r="O17" i="2" s="1"/>
  <c r="P11" i="2"/>
  <c r="P19" i="2" s="1"/>
  <c r="Q11" i="2"/>
  <c r="Q18" i="2" s="1"/>
  <c r="R11" i="2"/>
  <c r="R13" i="2" s="1"/>
  <c r="S11" i="2"/>
  <c r="S20" i="2" s="1"/>
  <c r="T11" i="2"/>
  <c r="U11" i="2"/>
  <c r="U20" i="2" s="1"/>
  <c r="V11" i="2"/>
  <c r="V20" i="2" s="1"/>
  <c r="W11" i="2"/>
  <c r="W20" i="2" s="1"/>
  <c r="D11" i="2"/>
  <c r="D16" i="2" s="1"/>
  <c r="E11" i="2"/>
  <c r="E18" i="2" s="1"/>
  <c r="F11" i="2"/>
  <c r="F18" i="2" s="1"/>
  <c r="G11" i="2"/>
  <c r="G19" i="2" s="1"/>
  <c r="H11" i="2"/>
  <c r="H18" i="2" s="1"/>
  <c r="I11" i="2"/>
  <c r="I20" i="2" s="1"/>
  <c r="J11" i="2"/>
  <c r="J19" i="2" s="1"/>
  <c r="K11" i="2"/>
  <c r="K16" i="2" s="1"/>
  <c r="L11" i="2"/>
  <c r="M11" i="2"/>
  <c r="M19" i="2" s="1"/>
  <c r="N11" i="2"/>
  <c r="N13" i="2" s="1"/>
  <c r="C11" i="2"/>
  <c r="C19" i="2" s="1"/>
  <c r="K13" i="2" l="1"/>
  <c r="R20" i="2"/>
  <c r="J13" i="2"/>
  <c r="Q20" i="2"/>
  <c r="P17" i="2"/>
  <c r="H19" i="2"/>
  <c r="H13" i="2"/>
  <c r="K15" i="2"/>
  <c r="S19" i="2"/>
  <c r="O20" i="2"/>
  <c r="G13" i="2"/>
  <c r="J15" i="2"/>
  <c r="E16" i="2"/>
  <c r="I18" i="2"/>
  <c r="E19" i="2"/>
  <c r="Q13" i="2"/>
  <c r="H15" i="2"/>
  <c r="C17" i="2"/>
  <c r="P13" i="2"/>
  <c r="W14" i="2"/>
  <c r="K14" i="2"/>
  <c r="S15" i="2"/>
  <c r="G15" i="2"/>
  <c r="O16" i="2"/>
  <c r="W17" i="2"/>
  <c r="K17" i="2"/>
  <c r="S18" i="2"/>
  <c r="G18" i="2"/>
  <c r="O19" i="2"/>
  <c r="K20" i="2"/>
  <c r="S14" i="2"/>
  <c r="S17" i="2"/>
  <c r="K19" i="2"/>
  <c r="J16" i="2"/>
  <c r="Q17" i="2"/>
  <c r="I13" i="2"/>
  <c r="H16" i="2"/>
  <c r="P20" i="2"/>
  <c r="O14" i="2"/>
  <c r="G16" i="2"/>
  <c r="K18" i="2"/>
  <c r="R16" i="2"/>
  <c r="F16" i="2"/>
  <c r="J18" i="2"/>
  <c r="F19" i="2"/>
  <c r="F13" i="2"/>
  <c r="I15" i="2"/>
  <c r="Q19" i="2"/>
  <c r="P16" i="2"/>
  <c r="D19" i="2"/>
  <c r="C18" i="2"/>
  <c r="O13" i="2"/>
  <c r="V14" i="2"/>
  <c r="J14" i="2"/>
  <c r="R15" i="2"/>
  <c r="F15" i="2"/>
  <c r="N16" i="2"/>
  <c r="V17" i="2"/>
  <c r="J17" i="2"/>
  <c r="R18" i="2"/>
  <c r="N19" i="2"/>
  <c r="J20" i="2"/>
  <c r="R14" i="2"/>
  <c r="R17" i="2"/>
  <c r="Q14" i="2"/>
  <c r="I16" i="2"/>
  <c r="I19" i="2"/>
  <c r="P14" i="2"/>
  <c r="S16" i="2"/>
  <c r="S13" i="2"/>
  <c r="R19" i="2"/>
  <c r="Q16" i="2"/>
  <c r="C16" i="2"/>
  <c r="E13" i="2"/>
  <c r="U14" i="2"/>
  <c r="I14" i="2"/>
  <c r="Q15" i="2"/>
  <c r="E15" i="2"/>
  <c r="M16" i="2"/>
  <c r="U17" i="2"/>
  <c r="I17" i="2"/>
  <c r="L5" i="1"/>
  <c r="M5" i="1" l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K5" i="1"/>
</calcChain>
</file>

<file path=xl/sharedStrings.xml><?xml version="1.0" encoding="utf-8"?>
<sst xmlns="http://schemas.openxmlformats.org/spreadsheetml/2006/main" count="334" uniqueCount="121">
  <si>
    <t>1996/97</t>
  </si>
  <si>
    <t>1997/98</t>
  </si>
  <si>
    <t>1998/99</t>
  </si>
  <si>
    <t>1999/00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</si>
  <si>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</si>
  <si>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</si>
  <si>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</si>
  <si>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</si>
  <si>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</si>
  <si>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</si>
  <si>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</si>
  <si>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</si>
  <si>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</si>
  <si>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</si>
  <si>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</si>
  <si>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</si>
  <si>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</si>
  <si>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</si>
  <si>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</si>
  <si>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</si>
  <si>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</si>
  <si>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</si>
  <si>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2030/31</t>
  </si>
  <si>
    <t>GDP (R million)</t>
  </si>
  <si>
    <t>Social Protection (R million)</t>
  </si>
  <si>
    <t>Social % GDP</t>
  </si>
  <si>
    <t>Child support</t>
  </si>
  <si>
    <r>
      <t>Old age</t>
    </r>
    <r>
      <rPr>
        <i/>
        <vertAlign val="superscript"/>
        <sz val="9"/>
        <color indexed="8"/>
        <rFont val="Calibri"/>
        <family val="2"/>
        <scheme val="minor"/>
      </rPr>
      <t>1</t>
    </r>
  </si>
  <si>
    <t>Disability</t>
  </si>
  <si>
    <t>Foster care</t>
  </si>
  <si>
    <t>Care dependency</t>
  </si>
  <si>
    <t>Grant-in-aid</t>
  </si>
  <si>
    <t>Social relief of distress</t>
  </si>
  <si>
    <t>2011/12</t>
  </si>
  <si>
    <t>2010/11</t>
  </si>
  <si>
    <t>2009/10</t>
  </si>
  <si>
    <t>2008/09</t>
  </si>
  <si>
    <t>2007/08</t>
  </si>
  <si>
    <t>2006/07</t>
  </si>
  <si>
    <t>2005/06</t>
  </si>
  <si>
    <t>2004/05</t>
  </si>
  <si>
    <t>2003/04</t>
  </si>
  <si>
    <t>2002/03</t>
  </si>
  <si>
    <t>2001/02</t>
  </si>
  <si>
    <t>2000/01</t>
  </si>
  <si>
    <t>Old age</t>
  </si>
  <si>
    <t>War veterans</t>
  </si>
  <si>
    <t>Eastern Cape</t>
  </si>
  <si>
    <t>2000 01</t>
  </si>
  <si>
    <t>2001 02</t>
  </si>
  <si>
    <t>2002 03</t>
  </si>
  <si>
    <t>Gauteng</t>
  </si>
  <si>
    <t>KZN</t>
  </si>
  <si>
    <t>Mpumalanga</t>
  </si>
  <si>
    <t>North West</t>
  </si>
  <si>
    <t>Northern Cape</t>
  </si>
  <si>
    <t>Western Cape</t>
  </si>
  <si>
    <t>Limpopo</t>
  </si>
  <si>
    <t>Admin adverage</t>
  </si>
  <si>
    <t>National</t>
  </si>
  <si>
    <t>Free State</t>
  </si>
  <si>
    <t>Social Grants Expenditure</t>
  </si>
  <si>
    <t>Social Grants Expenditure (AS A % of GDP)</t>
  </si>
  <si>
    <t>Annual growth rates</t>
  </si>
  <si>
    <t>Social Protection</t>
  </si>
  <si>
    <t>Periods - ERAs and growth rates</t>
  </si>
  <si>
    <t>2000/01 - 2004/05</t>
  </si>
  <si>
    <t>2005/06 - 2009/10</t>
  </si>
  <si>
    <t>2010/11 - 2014/15</t>
  </si>
  <si>
    <t>2015/16 - 2019/20</t>
  </si>
  <si>
    <t>2020/21 - 2024/5</t>
  </si>
  <si>
    <t>Annualised growth rates</t>
  </si>
  <si>
    <t>2025/6 - 2027/28</t>
  </si>
  <si>
    <t>25</t>
  </si>
  <si>
    <t>15</t>
  </si>
  <si>
    <t>9</t>
  </si>
  <si>
    <t>5</t>
  </si>
  <si>
    <t>3</t>
  </si>
  <si>
    <t>2</t>
  </si>
  <si>
    <t>294 031</t>
  </si>
  <si>
    <t>253 256</t>
  </si>
  <si>
    <t>218 111</t>
  </si>
  <si>
    <t>196939</t>
  </si>
  <si>
    <t>181692</t>
  </si>
  <si>
    <t>167627</t>
  </si>
  <si>
    <t>153 768</t>
  </si>
  <si>
    <t>156 982</t>
  </si>
  <si>
    <t>165 764</t>
  </si>
  <si>
    <t>168 030</t>
  </si>
  <si>
    <t>180582</t>
  </si>
  <si>
    <t>187537</t>
  </si>
  <si>
    <t>194610</t>
  </si>
  <si>
    <t>=A2:AA6</t>
  </si>
  <si>
    <t>Year</t>
  </si>
  <si>
    <t>Old Age Grant</t>
  </si>
  <si>
    <t>Social Relief of Distress</t>
  </si>
  <si>
    <t>Child Support</t>
  </si>
  <si>
    <t>Deflator (2015 = 100)</t>
  </si>
  <si>
    <t>Real social grants expenditure</t>
  </si>
  <si>
    <t>Real growth rate (Social Grants Expenditure)</t>
  </si>
  <si>
    <t>Old Age pension expenditure</t>
  </si>
  <si>
    <t>Real OAP</t>
  </si>
  <si>
    <t>OAP growth rate</t>
  </si>
  <si>
    <t>CSG expenditure</t>
  </si>
  <si>
    <t>Real CSG</t>
  </si>
  <si>
    <t>CSG growth rate</t>
  </si>
  <si>
    <t>DG expenditure</t>
  </si>
  <si>
    <t>Real DG</t>
  </si>
  <si>
    <t>DG growth rate</t>
  </si>
  <si>
    <t>SRD expenditure</t>
  </si>
  <si>
    <t>Real SRD</t>
  </si>
  <si>
    <t>SRD growth rates</t>
  </si>
  <si>
    <t>Period</t>
  </si>
  <si>
    <t>2000s</t>
  </si>
  <si>
    <t>2010s</t>
  </si>
  <si>
    <t>2020s</t>
  </si>
  <si>
    <t>Real growth rates</t>
  </si>
  <si>
    <t>Overall</t>
  </si>
  <si>
    <t>OAP</t>
  </si>
  <si>
    <t>CSG</t>
  </si>
  <si>
    <t>SRD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</si>
</sst>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71" formatCode="&quot;R&quot;#,##0.00"/>
    <numFmt numFmtId="174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name val="Arial Narrow"/>
      <family val="2"/>
    </font>
    <font>
      <i/>
      <sz val="9"/>
      <color indexed="8"/>
      <name val="Calibri"/>
      <family val="2"/>
      <scheme val="minor"/>
    </font>
    <font>
      <sz val="9"/>
      <color theme="1"/>
      <name val="Arial"/>
      <family val="2"/>
    </font>
    <font>
      <sz val="11"/>
      <color indexed="8"/>
      <name val="Calibri"/>
      <family val="2"/>
    </font>
    <font>
      <i/>
      <vertAlign val="superscript"/>
      <sz val="9"/>
      <color indexed="8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Arial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i/>
      <sz val="9"/>
      <color indexed="8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0">
    <xf numFmtId="0" fontId="0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/>
    <xf numFmtId="0" fontId="1" fillId="0" borderId="0"/>
    <xf numFmtId="9" fontId="9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0" borderId="0"/>
    <xf numFmtId="0" fontId="13" fillId="0" borderId="0"/>
    <xf numFmtId="9" fontId="12" fillId="0" borderId="0" applyFont="0" applyFill="0" applyBorder="0" applyAlignment="0" applyProtection="0"/>
    <xf numFmtId="0" fontId="12" fillId="0" borderId="0"/>
  </cellStyleXfs>
  <cellXfs count="49">
    <xf numFmtId="0" fontId="0" fillId="0" borderId="0" xfId="0"/>
    <xf numFmtId="0" fontId="2" fillId="0" borderId="1" xfId="0" applyFont="1" applyBorder="1" applyAlignment="1">
      <alignment wrapText="1"/>
    </xf>
    <xf numFmtId="3" fontId="0" fillId="0" borderId="0" xfId="0" applyNumberFormat="1"/>
    <xf numFmtId="3" fontId="4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3" fontId="4" fillId="0" borderId="2" xfId="0" applyNumberFormat="1" applyFont="1" applyBorder="1" applyAlignment="1">
      <alignment horizontal="right" wrapText="1"/>
    </xf>
    <xf numFmtId="10" fontId="2" fillId="0" borderId="1" xfId="0" applyNumberFormat="1" applyFont="1" applyBorder="1" applyAlignment="1">
      <alignment wrapText="1"/>
    </xf>
    <xf numFmtId="0" fontId="7" fillId="0" borderId="0" xfId="0" applyFont="1" applyAlignment="1">
      <alignment horizontal="left" vertical="top" indent="4"/>
    </xf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49" fontId="0" fillId="0" borderId="0" xfId="0" applyNumberFormat="1"/>
    <xf numFmtId="17" fontId="0" fillId="0" borderId="0" xfId="0" applyNumberFormat="1"/>
    <xf numFmtId="165" fontId="0" fillId="0" borderId="0" xfId="0" applyNumberFormat="1"/>
    <xf numFmtId="1" fontId="0" fillId="0" borderId="0" xfId="0" applyNumberFormat="1"/>
    <xf numFmtId="37" fontId="0" fillId="0" borderId="0" xfId="0" applyNumberFormat="1"/>
    <xf numFmtId="37" fontId="15" fillId="0" borderId="0" xfId="0" applyNumberFormat="1" applyFont="1"/>
    <xf numFmtId="37" fontId="16" fillId="0" borderId="6" xfId="16" applyNumberFormat="1" applyFont="1" applyFill="1" applyBorder="1" applyAlignment="1">
      <alignment horizontal="right" vertical="top"/>
    </xf>
    <xf numFmtId="37" fontId="16" fillId="0" borderId="4" xfId="16" applyNumberFormat="1" applyFont="1" applyFill="1" applyBorder="1" applyAlignment="1" applyProtection="1">
      <alignment horizontal="right" vertical="top"/>
    </xf>
    <xf numFmtId="37" fontId="16" fillId="0" borderId="6" xfId="19" applyNumberFormat="1" applyFont="1" applyBorder="1" applyAlignment="1">
      <alignment vertical="top"/>
    </xf>
    <xf numFmtId="37" fontId="16" fillId="0" borderId="4" xfId="19" applyNumberFormat="1" applyFont="1" applyBorder="1" applyAlignment="1">
      <alignment vertical="top"/>
    </xf>
    <xf numFmtId="37" fontId="16" fillId="0" borderId="7" xfId="0" applyNumberFormat="1" applyFont="1" applyBorder="1" applyAlignment="1">
      <alignment vertical="top"/>
    </xf>
    <xf numFmtId="37" fontId="16" fillId="0" borderId="0" xfId="0" applyNumberFormat="1" applyFont="1" applyAlignment="1">
      <alignment vertical="top"/>
    </xf>
    <xf numFmtId="37" fontId="16" fillId="0" borderId="7" xfId="0" applyNumberFormat="1" applyFont="1" applyBorder="1"/>
    <xf numFmtId="37" fontId="16" fillId="0" borderId="0" xfId="0" applyNumberFormat="1" applyFont="1"/>
    <xf numFmtId="37" fontId="16" fillId="0" borderId="5" xfId="0" applyNumberFormat="1" applyFont="1" applyBorder="1"/>
    <xf numFmtId="37" fontId="16" fillId="0" borderId="7" xfId="16" applyNumberFormat="1" applyFont="1" applyFill="1" applyBorder="1" applyAlignment="1">
      <alignment horizontal="right" vertical="top"/>
    </xf>
    <xf numFmtId="37" fontId="16" fillId="0" borderId="0" xfId="16" applyNumberFormat="1" applyFont="1" applyFill="1" applyBorder="1" applyAlignment="1" applyProtection="1">
      <alignment horizontal="right" vertical="top"/>
    </xf>
    <xf numFmtId="37" fontId="16" fillId="0" borderId="7" xfId="19" applyNumberFormat="1" applyFont="1" applyBorder="1" applyAlignment="1">
      <alignment vertical="top"/>
    </xf>
    <xf numFmtId="37" fontId="16" fillId="0" borderId="0" xfId="19" applyNumberFormat="1" applyFont="1" applyBorder="1" applyAlignment="1">
      <alignment vertical="top"/>
    </xf>
    <xf numFmtId="37" fontId="16" fillId="0" borderId="0" xfId="16" applyNumberFormat="1" applyFont="1" applyFill="1" applyBorder="1" applyAlignment="1" applyProtection="1">
      <alignment vertical="top"/>
    </xf>
    <xf numFmtId="37" fontId="16" fillId="0" borderId="9" xfId="0" applyNumberFormat="1" applyFont="1" applyBorder="1" applyAlignment="1">
      <alignment vertical="top"/>
    </xf>
    <xf numFmtId="37" fontId="16" fillId="0" borderId="3" xfId="0" applyNumberFormat="1" applyFont="1" applyBorder="1" applyAlignment="1">
      <alignment vertical="top"/>
    </xf>
    <xf numFmtId="37" fontId="16" fillId="0" borderId="9" xfId="0" applyNumberFormat="1" applyFont="1" applyBorder="1"/>
    <xf numFmtId="37" fontId="16" fillId="0" borderId="3" xfId="0" applyNumberFormat="1" applyFont="1" applyBorder="1"/>
    <xf numFmtId="37" fontId="16" fillId="0" borderId="8" xfId="0" applyNumberFormat="1" applyFont="1" applyBorder="1"/>
    <xf numFmtId="49" fontId="2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right" wrapText="1"/>
    </xf>
    <xf numFmtId="10" fontId="0" fillId="0" borderId="0" xfId="0" applyNumberFormat="1"/>
    <xf numFmtId="0" fontId="17" fillId="0" borderId="0" xfId="0" applyFont="1" applyAlignment="1">
      <alignment horizontal="left" vertical="top" indent="4"/>
    </xf>
    <xf numFmtId="0" fontId="14" fillId="0" borderId="0" xfId="0" applyFont="1"/>
    <xf numFmtId="10" fontId="14" fillId="0" borderId="0" xfId="0" applyNumberFormat="1" applyFont="1"/>
    <xf numFmtId="0" fontId="0" fillId="0" borderId="0" xfId="0" applyAlignment="1">
      <alignment wrapText="1"/>
    </xf>
    <xf numFmtId="41" fontId="18" fillId="0" borderId="10" xfId="16" applyNumberFormat="1" applyFont="1" applyBorder="1" applyAlignment="1">
      <alignment horizontal="right" vertical="top" wrapText="1"/>
    </xf>
    <xf numFmtId="41" fontId="18" fillId="0" borderId="11" xfId="16" applyNumberFormat="1" applyFont="1" applyBorder="1" applyAlignment="1">
      <alignment horizontal="right" vertical="top" wrapText="1"/>
    </xf>
    <xf numFmtId="0" fontId="19" fillId="0" borderId="0" xfId="0" applyFont="1" applyAlignment="1">
      <alignment horizontal="center" vertical="center" wrapText="1"/>
    </xf>
    <xf numFmtId="171" fontId="0" fillId="0" borderId="0" xfId="0" applyNumberFormat="1"/>
    <xf numFmtId="174" fontId="0" fillId="0" borderId="0" xfId="0" applyNumberFormat="1"/>
  </cellXfs>
  <cellStyles count="20">
    <cellStyle name="Comma 10" xfId="13"/>
    <cellStyle name="Comma 10 2 2" xfId="12"/>
    <cellStyle name="Comma 2" xfId="4"/>
    <cellStyle name="Jeffery" xfId="17"/>
    <cellStyle name="Normal" xfId="0" builtinId="0"/>
    <cellStyle name="Normal 10" xfId="3"/>
    <cellStyle name="Normal 106" xfId="14"/>
    <cellStyle name="Normal 18 2" xfId="1"/>
    <cellStyle name="Normal 2" xfId="19"/>
    <cellStyle name="Normal 2 3" xfId="5"/>
    <cellStyle name="Normal 20 2" xfId="9"/>
    <cellStyle name="Normal 3" xfId="2"/>
    <cellStyle name="Normal 3 3" xfId="11"/>
    <cellStyle name="Normal 3 7" xfId="8"/>
    <cellStyle name="Normal_Link to db" xfId="16"/>
    <cellStyle name="Percent 10" xfId="7"/>
    <cellStyle name="Percent 2" xfId="18"/>
    <cellStyle name="Percent 3" xfId="15"/>
    <cellStyle name="Percent 3 2" xfId="6"/>
    <cellStyle name="Percent 36" xfId="10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Real</a:t>
            </a:r>
            <a:r>
              <a:rPr lang="en-ZA" baseline="0"/>
              <a:t> growth rates in social grants expenditure (%)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'Deflated data'!$C$30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'Deflated data'!$B$31:$B$33</c:f>
              <c:strCache>
                <c:ptCount val="3"/>
                <c:pt idx="0">
                  <c:v>2000s</c:v>
                </c:pt>
                <c:pt idx="1">
                  <c:v>2010s</c:v>
                </c:pt>
                <c:pt idx="2">
                  <c:v>2020s</c:v>
                </c:pt>
              </c:strCache>
            </c:strRef>
          </c:cat>
          <c:val>
            <c:numRef>
              <c:f>'Deflated data'!$C$31:$C$33</c:f>
              <c:numCache>
                <c:formatCode>General</c:formatCode>
                <c:ptCount val="3"/>
                <c:pt idx="0">
                  <c:v>12.197121060823214</c:v>
                </c:pt>
                <c:pt idx="1">
                  <c:v>3.8312037020798142</c:v>
                </c:pt>
                <c:pt idx="2">
                  <c:v>2.1931454350485327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E-462D-B1BD-448078C6C759}"/>
            </c:ext>
          </c:extLst>
        </c:ser>
        <c:ser>
          <c:idx val="1"/>
          <c:order val="1"/>
          <c:tx>
            <c:strRef>
              <c:f>'Deflated data'!$D$30</c:f>
              <c:strCache>
                <c:ptCount val="1"/>
                <c:pt idx="0">
                  <c:v>OAP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'Deflated data'!$B$31:$B$33</c:f>
              <c:strCache>
                <c:ptCount val="3"/>
                <c:pt idx="0">
                  <c:v>2000s</c:v>
                </c:pt>
                <c:pt idx="1">
                  <c:v>2010s</c:v>
                </c:pt>
                <c:pt idx="2">
                  <c:v>2020s</c:v>
                </c:pt>
              </c:strCache>
            </c:strRef>
          </c:cat>
          <c:val>
            <c:numRef>
              <c:f>'Deflated data'!$D$31:$D$33</c:f>
              <c:numCache>
                <c:formatCode>General</c:formatCode>
                <c:ptCount val="3"/>
                <c:pt idx="0">
                  <c:v>4.8886150055914461</c:v>
                </c:pt>
                <c:pt idx="1">
                  <c:v>5.4486451989402838</c:v>
                </c:pt>
                <c:pt idx="2">
                  <c:v>9.2816480122307879E-2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E-462D-B1BD-448078C6C759}"/>
            </c:ext>
          </c:extLst>
        </c:ser>
        <c:ser>
          <c:idx val="2"/>
          <c:order val="2"/>
          <c:tx>
            <c:strRef>
              <c:f>'Deflated data'!$E$30</c:f>
              <c:strCache>
                <c:ptCount val="1"/>
                <c:pt idx="0">
                  <c:v>CSG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'Deflated data'!$B$31:$B$33</c:f>
              <c:strCache>
                <c:ptCount val="3"/>
                <c:pt idx="0">
                  <c:v>2000s</c:v>
                </c:pt>
                <c:pt idx="1">
                  <c:v>2010s</c:v>
                </c:pt>
                <c:pt idx="2">
                  <c:v>2020s</c:v>
                </c:pt>
              </c:strCache>
            </c:strRef>
          </c:cat>
          <c:val>
            <c:numRef>
              <c:f>'Deflated data'!$E$31:$E$33</c:f>
              <c:numCache>
                <c:formatCode>0.00000</c:formatCode>
                <c:ptCount val="3"/>
                <c:pt idx="0">
                  <c:v>34.505547616384504</c:v>
                </c:pt>
                <c:pt idx="1">
                  <c:v>4.8870356636849843</c:v>
                </c:pt>
                <c:pt idx="2">
                  <c:v>-0.36352324656997342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E-462D-B1BD-448078C6C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517887"/>
        <c:axId val="1622518719"/>
      </c:barChart>
      <c:catAx>
        <c:axId val="162251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18719"/>
        <c:crosses val="autoZero"/>
        <c:auto val="1"/>
        <c:lblAlgn val="ctr"/>
        <c:lblOffset val="100"/>
        <c:noMultiLvlLbl val="0"/>
      </c:catAx>
      <c:valAx>
        <c:axId val="162251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5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Real social grants expenditure (2000 - 2025)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'Deflated data'!$D$1</c:f>
              <c:strCache>
                <c:ptCount val="1"/>
                <c:pt idx="0">
                  <c:v>Real social grants expenditure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'Deflated data'!$A$2:$A$26</c:f>
              <c:strCache>
                <c:ptCount val="25"/>
                <c:pt idx="0">
                  <c:v>2000/01</c:v>
                </c:pt>
                <c:pt idx="1">
                  <c:v>2001/02</c:v>
                </c:pt>
                <c:pt idx="2">
                  <c:v>2002/03</c:v>
                </c:pt>
                <c:pt idx="3">
                  <c:v>2003/04</c:v>
                </c:pt>
                <c:pt idx="4">
                  <c:v>2004/05</c:v>
                </c:pt>
                <c:pt idx="5">
                  <c:v>2005/06</c:v>
                </c:pt>
                <c:pt idx="6">
                  <c:v>2006/07</c:v>
                </c:pt>
                <c:pt idx="7">
                  <c:v>2007/08</c:v>
                </c:pt>
                <c:pt idx="8">
                  <c:v>2008/09</c:v>
                </c:pt>
                <c:pt idx="9">
                  <c:v>2009/10</c:v>
                </c:pt>
                <c:pt idx="10">
                  <c:v>2010/11</c:v>
                </c:pt>
                <c:pt idx="11">
                  <c:v>2011/12</c:v>
                </c:pt>
                <c:pt idx="12">
                  <c:v>2012/13</c:v>
                </c:pt>
                <c:pt idx="13">
                  <c:v>2013/14</c:v>
                </c:pt>
                <c:pt idx="14">
                  <c:v>2014/15</c:v>
                </c:pt>
                <c:pt idx="15">
                  <c:v>2015/16</c:v>
                </c:pt>
                <c:pt idx="16">
                  <c:v>2016/17</c:v>
                </c:pt>
                <c:pt idx="17">
                  <c:v>2017/18</c:v>
                </c:pt>
                <c:pt idx="18">
                  <c:v>2018/19</c:v>
                </c:pt>
                <c:pt idx="19">
                  <c:v>2019/20</c:v>
                </c:pt>
                <c:pt idx="20">
                  <c:v>2020/21</c:v>
                </c:pt>
                <c:pt idx="21">
                  <c:v>2021/22</c:v>
                </c:pt>
                <c:pt idx="22">
                  <c:v>2022/23</c:v>
                </c:pt>
                <c:pt idx="23">
                  <c:v>2023/24</c:v>
                </c:pt>
                <c:pt idx="24">
                  <c:v>2024/25</c:v>
                </c:pt>
              </c:strCache>
            </c:strRef>
          </c:cat>
          <c:val>
            <c:numRef>
              <c:f>'Deflated data'!$D$2:$D$26</c:f>
              <c:numCache>
                <c:formatCode>"R"#\ ##0.00</c:formatCode>
                <c:ptCount val="25"/>
                <c:pt idx="0">
                  <c:v>39164368.823030494</c:v>
                </c:pt>
                <c:pt idx="1">
                  <c:v>42181567.631155923</c:v>
                </c:pt>
                <c:pt idx="2">
                  <c:v>53147602.649572879</c:v>
                </c:pt>
                <c:pt idx="3">
                  <c:v>65818802.116762862</c:v>
                </c:pt>
                <c:pt idx="4">
                  <c:v>80276614.064772829</c:v>
                </c:pt>
                <c:pt idx="5">
                  <c:v>89011503.370010242</c:v>
                </c:pt>
                <c:pt idx="6">
                  <c:v>96766602.152205139</c:v>
                </c:pt>
                <c:pt idx="7">
                  <c:v>99821425.004494339</c:v>
                </c:pt>
                <c:pt idx="8">
                  <c:v>102812869.38265754</c:v>
                </c:pt>
                <c:pt idx="9">
                  <c:v>107458132.38523248</c:v>
                </c:pt>
                <c:pt idx="10">
                  <c:v>113984310.07463509</c:v>
                </c:pt>
                <c:pt idx="11">
                  <c:v>119064634.83933724</c:v>
                </c:pt>
                <c:pt idx="12">
                  <c:v>121915434.80643393</c:v>
                </c:pt>
                <c:pt idx="13">
                  <c:v>121574014.25477472</c:v>
                </c:pt>
                <c:pt idx="14">
                  <c:v>125416949.60746439</c:v>
                </c:pt>
                <c:pt idx="15">
                  <c:v>128333376</c:v>
                </c:pt>
                <c:pt idx="16">
                  <c:v>130311312.35641807</c:v>
                </c:pt>
                <c:pt idx="17">
                  <c:v>134059802.10734718</c:v>
                </c:pt>
                <c:pt idx="18">
                  <c:v>138844545.32654652</c:v>
                </c:pt>
                <c:pt idx="19">
                  <c:v>155775518.3341175</c:v>
                </c:pt>
                <c:pt idx="20">
                  <c:v>173849261.46314117</c:v>
                </c:pt>
                <c:pt idx="21">
                  <c:v>169036989.33414492</c:v>
                </c:pt>
                <c:pt idx="22">
                  <c:v>165004028.15239617</c:v>
                </c:pt>
                <c:pt idx="23">
                  <c:v>167464720.0141176</c:v>
                </c:pt>
                <c:pt idx="24">
                  <c:v>172532074.68132848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F2-4945-8E04-54F38F03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203503"/>
        <c:axId val="1872205583"/>
      </c:lineChart>
      <c:catAx>
        <c:axId val="187220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05583"/>
        <c:crosses val="autoZero"/>
        <c:auto val="1"/>
        <c:lblAlgn val="ctr"/>
        <c:lblOffset val="100"/>
        <c:noMultiLvlLbl val="0"/>
      </c:catAx>
      <c:valAx>
        <c:axId val="187220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&quot;#\ 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203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27</xdr:row>
      <xdr:rowOff>34290</xdr:rowOff>
    </xdr:from>
    <xdr:to>
      <xdr:col>14</xdr:col>
      <xdr:colOff>289560</xdr:colOff>
      <xdr:row>42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800100</xdr:colOff>
      <xdr:row>0</xdr:row>
      <xdr:rowOff>186690</xdr:rowOff>
    </xdr:from>
    <xdr:to>
      <xdr:col>12</xdr:col>
      <xdr:colOff>137160</xdr:colOff>
      <xdr:row>15</xdr:row>
      <xdr:rowOff>148590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F11:K37" totalsRowShown="0" headerRowDxfId="6">
  <autoFilter ref="F11:K37"/>
  <tableColumns count="6">
    <tableColumn id="1" name="Year" dataDxfId="5"/>
    <tableColumn id="2" name="Social Grants Expenditure" dataDxfId="4"/>
    <tableColumn id="3" name="Old Age Grant" dataDxfId="3"/>
    <tableColumn id="4" name="Disability" dataDxfId="2"/>
    <tableColumn id="5" name="Social Relief of Distress" dataDxfId="1"/>
    <tableColumn id="6" name="Child Suppor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7"/>
  <sheetViews>
    <sheetView workbookViewId="0">
      <selection activeCell="D24" sqref="D24"/>
    </sheetView>
  </sheetViews>
  <sheetFormatPr defaultRowHeight="14.4" x14ac:dyDescent="0.3"/>
  <cols>
    <col min="1" max="1" width="21.6640625" customWidth="1"/>
    <col min="6" max="6" width="12" bestFit="1" customWidth="1"/>
    <col min="7" max="8" width="11.44140625" bestFit="1" customWidth="1"/>
    <col min="9" max="10" width="11" bestFit="1" customWidth="1"/>
    <col min="11" max="11" width="10.88671875" bestFit="1" customWidth="1"/>
    <col min="12" max="17" width="11" bestFit="1" customWidth="1"/>
    <col min="18" max="20" width="11.44140625" bestFit="1" customWidth="1"/>
    <col min="21" max="29" width="11" bestFit="1" customWidth="1"/>
    <col min="30" max="33" width="12.109375" bestFit="1" customWidth="1"/>
  </cols>
  <sheetData>
    <row r="1" spans="1:36" s="11" customFormat="1" ht="15" thickBot="1" x14ac:dyDescent="0.35">
      <c r="F1" s="11" t="s">
        <v>44</v>
      </c>
      <c r="G1" s="11" t="s">
        <v>43</v>
      </c>
      <c r="H1" s="11" t="s">
        <v>42</v>
      </c>
      <c r="I1" s="11" t="s">
        <v>41</v>
      </c>
      <c r="J1" s="11" t="s">
        <v>40</v>
      </c>
      <c r="K1" s="11" t="s">
        <v>39</v>
      </c>
      <c r="L1" s="11" t="s">
        <v>38</v>
      </c>
      <c r="M1" s="11" t="s">
        <v>37</v>
      </c>
      <c r="N1" s="11" t="s">
        <v>36</v>
      </c>
      <c r="O1" s="11" t="s">
        <v>35</v>
      </c>
      <c r="P1" s="11" t="s">
        <v>34</v>
      </c>
      <c r="Q1" s="11" t="s">
        <v>33</v>
      </c>
    </row>
    <row r="2" spans="1:36" s="11" customFormat="1" ht="15" thickBot="1" x14ac:dyDescent="0.35">
      <c r="A2" s="36"/>
      <c r="B2" s="37" t="s">
        <v>0</v>
      </c>
      <c r="C2" s="37" t="s">
        <v>1</v>
      </c>
      <c r="D2" s="37" t="s">
        <v>2</v>
      </c>
      <c r="E2" s="37" t="s">
        <v>3</v>
      </c>
      <c r="F2" s="38" t="s">
        <v>44</v>
      </c>
      <c r="G2" s="11" t="s">
        <v>43</v>
      </c>
      <c r="H2" s="11" t="s">
        <v>42</v>
      </c>
      <c r="I2" s="11" t="s">
        <v>41</v>
      </c>
      <c r="J2" s="11" t="s">
        <v>40</v>
      </c>
      <c r="K2" s="11" t="s">
        <v>39</v>
      </c>
      <c r="L2" s="11" t="s">
        <v>38</v>
      </c>
      <c r="M2" s="11" t="s">
        <v>37</v>
      </c>
      <c r="N2" s="11" t="s">
        <v>36</v>
      </c>
      <c r="O2" s="11" t="s">
        <v>35</v>
      </c>
      <c r="P2" s="11" t="s">
        <v>34</v>
      </c>
      <c r="Q2" s="11" t="s">
        <v>33</v>
      </c>
      <c r="R2" s="37" t="s">
        <v>4</v>
      </c>
      <c r="S2" s="37" t="s">
        <v>5</v>
      </c>
      <c r="T2" s="37" t="s">
        <v>6</v>
      </c>
      <c r="U2" s="37" t="s">
        <v>7</v>
      </c>
      <c r="V2" s="37" t="s">
        <v>8</v>
      </c>
      <c r="W2" s="37" t="s">
        <v>9</v>
      </c>
      <c r="X2" s="37" t="s">
        <v>10</v>
      </c>
      <c r="Y2" s="37" t="s">
        <v>11</v>
      </c>
      <c r="Z2" s="37" t="s">
        <v>12</v>
      </c>
      <c r="AA2" s="37" t="s">
        <v>13</v>
      </c>
      <c r="AB2" s="37" t="s">
        <v>14</v>
      </c>
      <c r="AC2" s="37" t="s">
        <v>15</v>
      </c>
      <c r="AD2" s="37" t="s">
        <v>16</v>
      </c>
      <c r="AE2" s="37" t="s">
        <v>17</v>
      </c>
      <c r="AF2" s="37" t="s">
        <v>18</v>
      </c>
      <c r="AG2" s="38" t="s">
        <v>19</v>
      </c>
      <c r="AH2" s="38"/>
      <c r="AI2" s="38"/>
      <c r="AJ2" s="38"/>
    </row>
    <row r="3" spans="1:36" ht="15" thickBot="1" x14ac:dyDescent="0.35">
      <c r="A3" s="8" t="s">
        <v>23</v>
      </c>
      <c r="B3" s="3">
        <v>720876</v>
      </c>
      <c r="C3" s="3">
        <v>795702</v>
      </c>
      <c r="D3" s="3">
        <v>862254</v>
      </c>
      <c r="E3" s="3">
        <v>952614</v>
      </c>
      <c r="F3" s="3">
        <v>1087628</v>
      </c>
      <c r="G3" s="3">
        <v>1204513</v>
      </c>
      <c r="H3" s="3">
        <v>1400934</v>
      </c>
      <c r="I3" s="3">
        <v>1524757</v>
      </c>
      <c r="J3" s="3">
        <v>1691285</v>
      </c>
      <c r="K3" s="3">
        <v>1885723</v>
      </c>
      <c r="L3" s="3">
        <v>2135550</v>
      </c>
      <c r="M3" s="3">
        <v>2409261</v>
      </c>
      <c r="N3" s="3">
        <v>2658157</v>
      </c>
      <c r="O3" s="3">
        <v>2843029</v>
      </c>
      <c r="P3" s="3">
        <v>3123336</v>
      </c>
      <c r="Q3" s="3">
        <v>3391162</v>
      </c>
      <c r="R3" s="3">
        <v>3633648</v>
      </c>
      <c r="S3" s="3">
        <v>3945370</v>
      </c>
      <c r="T3" s="3">
        <v>4200741</v>
      </c>
      <c r="U3" s="3">
        <v>4498914</v>
      </c>
      <c r="V3" s="3">
        <v>4831201</v>
      </c>
      <c r="W3" s="3">
        <v>5138408</v>
      </c>
      <c r="X3" s="3">
        <v>5425436</v>
      </c>
      <c r="Y3" s="3">
        <v>5709242</v>
      </c>
      <c r="Z3" s="3">
        <v>5616352</v>
      </c>
      <c r="AA3" s="3">
        <v>6325590</v>
      </c>
      <c r="AB3" s="3">
        <v>6763456</v>
      </c>
      <c r="AC3" s="3">
        <v>7092319</v>
      </c>
      <c r="AD3" s="3">
        <v>7406878</v>
      </c>
      <c r="AE3" s="3">
        <v>7872157</v>
      </c>
      <c r="AF3" s="3">
        <v>8351403</v>
      </c>
      <c r="AG3" s="3">
        <v>8890572</v>
      </c>
      <c r="AH3" s="1"/>
      <c r="AI3" s="1"/>
      <c r="AJ3" s="1"/>
    </row>
    <row r="4" spans="1:36" ht="15" thickBot="1" x14ac:dyDescent="0.35">
      <c r="A4" s="8" t="s">
        <v>24</v>
      </c>
      <c r="B4" s="1"/>
      <c r="C4" s="1"/>
      <c r="D4" s="1"/>
      <c r="E4" s="1"/>
      <c r="F4" s="1"/>
      <c r="G4" s="1"/>
      <c r="H4" s="1"/>
      <c r="I4" s="1"/>
      <c r="J4" s="4"/>
      <c r="K4" s="5">
        <v>72261</v>
      </c>
      <c r="L4" s="5">
        <v>78804</v>
      </c>
      <c r="M4" s="5">
        <v>92943</v>
      </c>
      <c r="N4" s="5">
        <v>107179</v>
      </c>
      <c r="O4" s="5">
        <v>122221</v>
      </c>
      <c r="P4" s="5">
        <v>130336</v>
      </c>
      <c r="Q4" s="5">
        <v>139664</v>
      </c>
      <c r="R4" s="5">
        <v>151647</v>
      </c>
      <c r="S4" s="5">
        <v>170360</v>
      </c>
      <c r="T4" s="5">
        <v>183604</v>
      </c>
      <c r="U4" s="5">
        <v>202344</v>
      </c>
      <c r="V4" s="5">
        <v>220651</v>
      </c>
      <c r="W4" s="5">
        <v>236745</v>
      </c>
      <c r="X4" s="5">
        <v>257937</v>
      </c>
      <c r="Y4" s="5">
        <v>285579</v>
      </c>
      <c r="Z4" s="5">
        <v>371990</v>
      </c>
      <c r="AA4" s="5">
        <v>348323</v>
      </c>
      <c r="AB4" s="5">
        <v>350411</v>
      </c>
      <c r="AC4" s="3">
        <v>366487</v>
      </c>
      <c r="AD4" s="3">
        <v>405505</v>
      </c>
      <c r="AE4" s="3">
        <v>429921</v>
      </c>
      <c r="AF4" s="3">
        <v>443606</v>
      </c>
      <c r="AG4" s="3">
        <v>459362</v>
      </c>
      <c r="AH4" s="1"/>
      <c r="AI4" s="1"/>
      <c r="AJ4" s="1"/>
    </row>
    <row r="5" spans="1:36" ht="15" thickBot="1" x14ac:dyDescent="0.35">
      <c r="A5" s="9" t="s">
        <v>25</v>
      </c>
      <c r="B5" s="1"/>
      <c r="C5" s="1"/>
      <c r="D5" s="1"/>
      <c r="E5" s="1"/>
      <c r="F5" s="1"/>
      <c r="G5" s="1"/>
      <c r="H5" s="1"/>
      <c r="I5" s="1"/>
      <c r="J5" s="1"/>
      <c r="K5" s="6">
        <f>(K4/K3)</f>
        <v>3.8320050187646858E-2</v>
      </c>
      <c r="L5" s="6">
        <f t="shared" ref="L5:AG5" si="0">(L4/L3)</f>
        <v>3.6901032520896257E-2</v>
      </c>
      <c r="M5" s="6">
        <f t="shared" si="0"/>
        <v>3.8577389498273537E-2</v>
      </c>
      <c r="N5" s="6">
        <f t="shared" si="0"/>
        <v>4.0320793692772847E-2</v>
      </c>
      <c r="O5" s="6">
        <f t="shared" si="0"/>
        <v>4.298971273244135E-2</v>
      </c>
      <c r="P5" s="6">
        <f t="shared" si="0"/>
        <v>4.1729740252089434E-2</v>
      </c>
      <c r="Q5" s="6">
        <f t="shared" si="0"/>
        <v>4.118470306048487E-2</v>
      </c>
      <c r="R5" s="6">
        <f t="shared" si="0"/>
        <v>4.1734092019920475E-2</v>
      </c>
      <c r="S5" s="6">
        <f t="shared" si="0"/>
        <v>4.3179727123184901E-2</v>
      </c>
      <c r="T5" s="6">
        <f t="shared" si="0"/>
        <v>4.3707526838717266E-2</v>
      </c>
      <c r="U5" s="6">
        <f t="shared" si="0"/>
        <v>4.4976187586604231E-2</v>
      </c>
      <c r="V5" s="6">
        <f t="shared" si="0"/>
        <v>4.5672080296390069E-2</v>
      </c>
      <c r="W5" s="6">
        <f t="shared" si="0"/>
        <v>4.6073608790893991E-2</v>
      </c>
      <c r="X5" s="6">
        <f t="shared" si="0"/>
        <v>4.7542169882752283E-2</v>
      </c>
      <c r="Y5" s="6">
        <f t="shared" si="0"/>
        <v>5.0020475572764303E-2</v>
      </c>
      <c r="Z5" s="6">
        <f t="shared" si="0"/>
        <v>6.6233384232327316E-2</v>
      </c>
      <c r="AA5" s="6">
        <f t="shared" si="0"/>
        <v>5.5065693476814018E-2</v>
      </c>
      <c r="AB5" s="6">
        <f t="shared" si="0"/>
        <v>5.1809459542577048E-2</v>
      </c>
      <c r="AC5" s="6">
        <f t="shared" si="0"/>
        <v>5.1673789630725858E-2</v>
      </c>
      <c r="AD5" s="6">
        <f t="shared" si="0"/>
        <v>5.4747087774363233E-2</v>
      </c>
      <c r="AE5" s="6">
        <f t="shared" si="0"/>
        <v>5.4612858966100394E-2</v>
      </c>
      <c r="AF5" s="6">
        <f t="shared" si="0"/>
        <v>5.3117542046527993E-2</v>
      </c>
      <c r="AG5" s="6">
        <f t="shared" si="0"/>
        <v>5.1668441580586713E-2</v>
      </c>
      <c r="AH5" s="1"/>
      <c r="AI5" s="1"/>
      <c r="AJ5" s="1"/>
    </row>
    <row r="6" spans="1:36" ht="15" thickBot="1" x14ac:dyDescent="0.35">
      <c r="A6" s="10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7" t="s">
        <v>26</v>
      </c>
      <c r="I7">
        <v>7690</v>
      </c>
      <c r="J7">
        <v>11431</v>
      </c>
      <c r="K7">
        <v>14143</v>
      </c>
      <c r="L7">
        <v>17936</v>
      </c>
      <c r="M7">
        <v>19176</v>
      </c>
      <c r="N7">
        <v>21623</v>
      </c>
      <c r="O7">
        <v>22537</v>
      </c>
      <c r="P7">
        <v>27263</v>
      </c>
      <c r="Q7">
        <v>30594</v>
      </c>
      <c r="R7">
        <v>38190</v>
      </c>
      <c r="S7" s="2">
        <v>40029</v>
      </c>
      <c r="T7">
        <v>43428</v>
      </c>
      <c r="U7">
        <v>47459</v>
      </c>
      <c r="V7" s="2">
        <v>51351</v>
      </c>
      <c r="W7" s="2">
        <v>56017</v>
      </c>
      <c r="X7" s="2">
        <v>60603</v>
      </c>
      <c r="Y7" s="2">
        <v>64967</v>
      </c>
      <c r="Z7" s="2">
        <v>84886</v>
      </c>
      <c r="AA7" s="2">
        <v>73318</v>
      </c>
      <c r="AB7" s="2">
        <v>77179</v>
      </c>
      <c r="AC7" s="2">
        <v>81017</v>
      </c>
      <c r="AD7" s="2">
        <v>84748</v>
      </c>
    </row>
    <row r="8" spans="1:36" x14ac:dyDescent="0.3">
      <c r="A8" s="7" t="s">
        <v>27</v>
      </c>
      <c r="I8">
        <v>17146</v>
      </c>
      <c r="J8">
        <v>18404</v>
      </c>
      <c r="K8">
        <v>19527</v>
      </c>
      <c r="L8">
        <v>21590</v>
      </c>
      <c r="M8">
        <v>22782</v>
      </c>
      <c r="N8">
        <v>26408</v>
      </c>
      <c r="O8">
        <v>25992</v>
      </c>
      <c r="P8">
        <v>29991</v>
      </c>
      <c r="Q8">
        <v>33797</v>
      </c>
      <c r="R8">
        <v>40529</v>
      </c>
      <c r="S8" s="2">
        <v>44767</v>
      </c>
      <c r="T8">
        <v>49422</v>
      </c>
      <c r="U8">
        <v>53274</v>
      </c>
      <c r="V8" s="2">
        <v>58327</v>
      </c>
      <c r="W8" s="2">
        <v>64276</v>
      </c>
      <c r="X8" s="2">
        <v>70453</v>
      </c>
      <c r="Y8" s="2">
        <v>76951</v>
      </c>
      <c r="Z8" s="2">
        <v>83107</v>
      </c>
      <c r="AA8" s="2">
        <v>86488</v>
      </c>
      <c r="AB8" s="2">
        <v>92067</v>
      </c>
      <c r="AC8" s="2">
        <v>98600</v>
      </c>
      <c r="AD8" s="2">
        <v>106659</v>
      </c>
    </row>
    <row r="9" spans="1:36" x14ac:dyDescent="0.3">
      <c r="A9" s="7" t="s">
        <v>28</v>
      </c>
      <c r="I9">
        <v>10329</v>
      </c>
      <c r="J9">
        <v>12570</v>
      </c>
      <c r="K9">
        <v>14099</v>
      </c>
      <c r="L9">
        <v>14707</v>
      </c>
      <c r="M9">
        <v>15728</v>
      </c>
      <c r="N9">
        <v>17678</v>
      </c>
      <c r="O9">
        <v>16600</v>
      </c>
      <c r="P9">
        <v>16835</v>
      </c>
      <c r="Q9">
        <v>17080</v>
      </c>
      <c r="R9">
        <v>17752</v>
      </c>
      <c r="S9" s="2">
        <v>18034</v>
      </c>
      <c r="T9">
        <v>18957</v>
      </c>
      <c r="U9">
        <v>19298</v>
      </c>
      <c r="V9" s="2">
        <v>20018</v>
      </c>
      <c r="W9" s="2">
        <v>20952</v>
      </c>
      <c r="X9" s="2">
        <v>22032</v>
      </c>
      <c r="Y9" s="2">
        <v>23078</v>
      </c>
      <c r="Z9" s="2">
        <v>24390</v>
      </c>
      <c r="AA9" s="2">
        <v>23579</v>
      </c>
      <c r="AB9" s="2">
        <v>24807</v>
      </c>
      <c r="AC9" s="2">
        <v>27155</v>
      </c>
      <c r="AD9" s="2">
        <v>28547</v>
      </c>
    </row>
    <row r="10" spans="1:36" x14ac:dyDescent="0.3">
      <c r="A10" s="7" t="s">
        <v>29</v>
      </c>
      <c r="I10">
        <v>1142</v>
      </c>
      <c r="J10">
        <v>1563</v>
      </c>
      <c r="K10">
        <v>1996</v>
      </c>
      <c r="L10">
        <v>2464</v>
      </c>
      <c r="M10">
        <v>3404</v>
      </c>
      <c r="N10">
        <v>3602</v>
      </c>
      <c r="O10">
        <v>3943</v>
      </c>
      <c r="P10">
        <v>4362</v>
      </c>
      <c r="Q10">
        <v>4898</v>
      </c>
      <c r="R10">
        <v>5409</v>
      </c>
      <c r="S10" s="2">
        <v>5478</v>
      </c>
      <c r="T10">
        <v>5851</v>
      </c>
      <c r="U10">
        <v>5480</v>
      </c>
      <c r="V10" s="2">
        <v>5322</v>
      </c>
      <c r="W10" s="2">
        <v>5299</v>
      </c>
      <c r="X10" s="2">
        <v>5202</v>
      </c>
      <c r="Y10" s="2">
        <v>5081</v>
      </c>
      <c r="Z10" s="2">
        <v>5046</v>
      </c>
      <c r="AA10" s="2">
        <v>4338</v>
      </c>
      <c r="AB10" s="2">
        <v>4062</v>
      </c>
      <c r="AC10" s="2">
        <v>4041</v>
      </c>
      <c r="AD10" s="2">
        <v>3838</v>
      </c>
    </row>
    <row r="11" spans="1:36" x14ac:dyDescent="0.3">
      <c r="A11" s="7" t="s">
        <v>30</v>
      </c>
      <c r="I11">
        <v>639</v>
      </c>
      <c r="J11">
        <v>760</v>
      </c>
      <c r="K11">
        <v>916</v>
      </c>
      <c r="L11">
        <v>998</v>
      </c>
      <c r="M11">
        <v>1127</v>
      </c>
      <c r="N11">
        <v>1266</v>
      </c>
      <c r="O11">
        <v>1322</v>
      </c>
      <c r="P11">
        <v>1356</v>
      </c>
      <c r="Q11">
        <v>1582</v>
      </c>
      <c r="R11">
        <v>1887</v>
      </c>
      <c r="S11" s="2">
        <v>2028</v>
      </c>
      <c r="T11">
        <v>2259</v>
      </c>
      <c r="U11">
        <v>2431</v>
      </c>
      <c r="V11" s="2">
        <v>2677</v>
      </c>
      <c r="W11" s="2">
        <v>2939</v>
      </c>
      <c r="X11" s="2">
        <v>3094</v>
      </c>
      <c r="Y11" s="2">
        <v>3430</v>
      </c>
      <c r="Z11" s="2">
        <v>3569</v>
      </c>
      <c r="AA11" s="2">
        <v>3658</v>
      </c>
      <c r="AB11" s="2">
        <v>3870</v>
      </c>
      <c r="AC11" s="2">
        <v>4097</v>
      </c>
      <c r="AD11" s="2">
        <v>4519</v>
      </c>
    </row>
    <row r="12" spans="1:36" x14ac:dyDescent="0.3">
      <c r="A12" s="7" t="s">
        <v>31</v>
      </c>
      <c r="J12">
        <v>20</v>
      </c>
      <c r="L12">
        <v>67</v>
      </c>
      <c r="M12">
        <v>87</v>
      </c>
      <c r="N12">
        <v>90</v>
      </c>
      <c r="O12">
        <v>123</v>
      </c>
      <c r="P12">
        <v>95</v>
      </c>
      <c r="Q12">
        <v>160</v>
      </c>
      <c r="R12">
        <v>236</v>
      </c>
      <c r="S12">
        <v>274</v>
      </c>
      <c r="T12">
        <v>371</v>
      </c>
      <c r="U12">
        <v>503</v>
      </c>
      <c r="V12" s="2">
        <v>650</v>
      </c>
      <c r="W12" s="2">
        <v>817</v>
      </c>
      <c r="X12" s="2">
        <v>1011</v>
      </c>
      <c r="Y12" s="2">
        <v>1238</v>
      </c>
      <c r="Z12" s="2">
        <v>1632</v>
      </c>
      <c r="AA12" s="2">
        <v>1600</v>
      </c>
      <c r="AB12" s="2">
        <v>1896</v>
      </c>
      <c r="AC12" s="2">
        <v>2164</v>
      </c>
      <c r="AD12" s="2">
        <v>2971</v>
      </c>
    </row>
    <row r="13" spans="1:36" x14ac:dyDescent="0.3">
      <c r="A13" s="7" t="s">
        <v>32</v>
      </c>
      <c r="L13">
        <v>41</v>
      </c>
      <c r="M13">
        <v>112</v>
      </c>
      <c r="N13">
        <v>124</v>
      </c>
      <c r="O13">
        <v>624</v>
      </c>
      <c r="P13">
        <v>132</v>
      </c>
      <c r="Q13">
        <v>143</v>
      </c>
      <c r="R13">
        <v>235</v>
      </c>
      <c r="S13">
        <v>533</v>
      </c>
      <c r="T13">
        <v>456</v>
      </c>
      <c r="U13">
        <v>413</v>
      </c>
      <c r="V13" s="2">
        <v>587</v>
      </c>
      <c r="W13" s="2">
        <v>546</v>
      </c>
      <c r="X13" s="2">
        <v>410</v>
      </c>
      <c r="Y13">
        <v>410</v>
      </c>
      <c r="Z13" s="2">
        <v>17977</v>
      </c>
      <c r="AA13" s="2">
        <v>31561</v>
      </c>
      <c r="AB13" s="2">
        <v>29104</v>
      </c>
      <c r="AC13" s="2">
        <v>33893</v>
      </c>
      <c r="AD13" s="2">
        <v>35509</v>
      </c>
    </row>
    <row r="15" spans="1:36" x14ac:dyDescent="0.3">
      <c r="A15" s="7" t="s">
        <v>45</v>
      </c>
      <c r="F15" s="16">
        <v>12159573.284438424</v>
      </c>
      <c r="G15" s="16">
        <v>13062756.97099521</v>
      </c>
      <c r="H15" s="16">
        <v>15706446.916154565</v>
      </c>
      <c r="I15" s="16">
        <f xml:space="preserve"> 17146000</f>
        <v>17146000</v>
      </c>
      <c r="J15" s="16">
        <v>18504000</v>
      </c>
      <c r="K15" s="16">
        <v>19527000</v>
      </c>
      <c r="L15" s="16">
        <v>21222000</v>
      </c>
      <c r="M15" s="16">
        <v>22801000</v>
      </c>
      <c r="N15" s="16">
        <v>25934000</v>
      </c>
      <c r="O15" s="17">
        <v>29826400</v>
      </c>
      <c r="P15" s="18">
        <v>33750600</v>
      </c>
      <c r="Q15" s="18">
        <v>37120000</v>
      </c>
      <c r="R15" s="16">
        <v>40475021</v>
      </c>
      <c r="S15" s="16">
        <v>44064239</v>
      </c>
      <c r="T15" s="16">
        <v>49044747</v>
      </c>
      <c r="U15" s="19">
        <v>53134481</v>
      </c>
      <c r="V15" s="20">
        <v>58327000</v>
      </c>
      <c r="W15" s="20">
        <v>64130161</v>
      </c>
      <c r="X15" s="21">
        <v>70542096</v>
      </c>
      <c r="Y15" s="22">
        <v>83488248</v>
      </c>
      <c r="Z15" s="22">
        <v>81024952</v>
      </c>
      <c r="AA15" s="23">
        <v>84102284</v>
      </c>
      <c r="AB15" s="24">
        <v>90655247</v>
      </c>
      <c r="AC15" s="24">
        <v>98515230</v>
      </c>
      <c r="AD15" s="25">
        <v>107015763</v>
      </c>
      <c r="AE15" s="24">
        <v>117362038</v>
      </c>
      <c r="AF15" s="24">
        <v>122423948</v>
      </c>
      <c r="AG15" s="24">
        <v>128214814</v>
      </c>
    </row>
    <row r="16" spans="1:36" x14ac:dyDescent="0.3">
      <c r="A16" s="7" t="s">
        <v>46</v>
      </c>
      <c r="F16" s="16">
        <v>27979.826072509226</v>
      </c>
      <c r="G16" s="16">
        <v>26236.696381105074</v>
      </c>
      <c r="H16" s="16">
        <v>32247.188823036715</v>
      </c>
      <c r="I16" s="16">
        <f xml:space="preserve"> 34000</f>
        <v>34000</v>
      </c>
      <c r="J16" s="16">
        <v>36000</v>
      </c>
      <c r="K16" s="16">
        <v>28000</v>
      </c>
      <c r="L16" s="16">
        <v>25000</v>
      </c>
      <c r="M16" s="16">
        <v>22000</v>
      </c>
      <c r="N16" s="16">
        <v>20000</v>
      </c>
      <c r="O16" s="26">
        <v>16600</v>
      </c>
      <c r="P16" s="27">
        <v>14000</v>
      </c>
      <c r="Q16" s="27">
        <v>11800</v>
      </c>
      <c r="R16" s="16">
        <v>9543</v>
      </c>
      <c r="S16" s="16">
        <v>7657</v>
      </c>
      <c r="T16" s="16">
        <v>6180</v>
      </c>
      <c r="U16" s="28">
        <v>4842</v>
      </c>
      <c r="V16" s="29">
        <v>3850</v>
      </c>
      <c r="W16" s="29">
        <v>3086</v>
      </c>
      <c r="X16" s="21">
        <v>2380</v>
      </c>
      <c r="Y16" s="22">
        <v>1762</v>
      </c>
      <c r="Z16" s="22">
        <v>1101</v>
      </c>
      <c r="AA16" s="23">
        <v>704</v>
      </c>
      <c r="AB16" s="24">
        <v>518</v>
      </c>
      <c r="AC16" s="24">
        <v>289</v>
      </c>
      <c r="AD16" s="25">
        <v>182</v>
      </c>
      <c r="AE16" s="24">
        <v>106</v>
      </c>
      <c r="AF16" s="24">
        <v>60</v>
      </c>
      <c r="AG16" s="24">
        <v>63</v>
      </c>
    </row>
    <row r="17" spans="1:33" x14ac:dyDescent="0.3">
      <c r="A17" s="7" t="s">
        <v>28</v>
      </c>
      <c r="F17" s="16">
        <v>3960218.4024089817</v>
      </c>
      <c r="G17" s="16">
        <v>4545921.3935395563</v>
      </c>
      <c r="H17" s="16">
        <v>7112513.8539871331</v>
      </c>
      <c r="I17" s="16">
        <f xml:space="preserve"> 10329* 1000</f>
        <v>10329000</v>
      </c>
      <c r="J17" s="16">
        <v>12570000</v>
      </c>
      <c r="K17" s="16">
        <v>14099000</v>
      </c>
      <c r="L17" s="16">
        <v>14261000</v>
      </c>
      <c r="M17" s="16">
        <v>15280000</v>
      </c>
      <c r="N17" s="16">
        <v>16474000</v>
      </c>
      <c r="O17" s="26">
        <v>16566700</v>
      </c>
      <c r="P17" s="27">
        <v>16840200</v>
      </c>
      <c r="Q17" s="27">
        <v>17375000</v>
      </c>
      <c r="R17" s="16">
        <v>17636570</v>
      </c>
      <c r="S17" s="16">
        <v>17768631</v>
      </c>
      <c r="T17" s="16">
        <v>18744785</v>
      </c>
      <c r="U17" s="28">
        <v>19166969</v>
      </c>
      <c r="V17" s="29">
        <v>19850553</v>
      </c>
      <c r="W17" s="29">
        <v>20931343</v>
      </c>
      <c r="X17" s="21">
        <v>21960632</v>
      </c>
      <c r="Y17" s="22">
        <v>25110506</v>
      </c>
      <c r="Z17" s="22">
        <v>23031721</v>
      </c>
      <c r="AA17" s="23">
        <v>24081504</v>
      </c>
      <c r="AB17" s="24">
        <v>25385839</v>
      </c>
      <c r="AC17" s="24">
        <v>27000229</v>
      </c>
      <c r="AD17" s="25">
        <v>29233472</v>
      </c>
      <c r="AE17" s="24">
        <v>30273206</v>
      </c>
      <c r="AF17" s="24">
        <v>32037915</v>
      </c>
      <c r="AG17" s="24">
        <v>33531910.000000004</v>
      </c>
    </row>
    <row r="18" spans="1:33" x14ac:dyDescent="0.3">
      <c r="A18" s="7" t="s">
        <v>29</v>
      </c>
      <c r="F18" s="16">
        <v>260970.0276211944</v>
      </c>
      <c r="G18" s="16">
        <v>341823.74404358031</v>
      </c>
      <c r="H18" s="16">
        <v>737436.42736118892</v>
      </c>
      <c r="I18" s="16">
        <v>1142000</v>
      </c>
      <c r="J18" s="16">
        <v>1563000</v>
      </c>
      <c r="K18" s="16">
        <v>1996000</v>
      </c>
      <c r="L18" s="16">
        <v>2851000</v>
      </c>
      <c r="M18" s="16">
        <v>3414000</v>
      </c>
      <c r="N18" s="16">
        <v>3934000</v>
      </c>
      <c r="O18" s="26">
        <v>4434300</v>
      </c>
      <c r="P18" s="27">
        <v>4616400</v>
      </c>
      <c r="Q18" s="27">
        <v>5010900</v>
      </c>
      <c r="R18" s="16">
        <v>5335049</v>
      </c>
      <c r="S18" s="16">
        <v>5332093</v>
      </c>
      <c r="T18" s="16">
        <v>5419223</v>
      </c>
      <c r="U18" s="28">
        <v>5408370</v>
      </c>
      <c r="V18" s="29">
        <v>5327659</v>
      </c>
      <c r="W18" s="29">
        <v>5207026</v>
      </c>
      <c r="X18" s="21">
        <v>5114211</v>
      </c>
      <c r="Y18" s="22">
        <v>5389888</v>
      </c>
      <c r="Z18" s="22">
        <v>4783110</v>
      </c>
      <c r="AA18" s="23">
        <v>4373497</v>
      </c>
      <c r="AB18" s="24">
        <v>4162140.0000000005</v>
      </c>
      <c r="AC18" s="24">
        <v>4056905</v>
      </c>
      <c r="AD18" s="25">
        <v>3644419</v>
      </c>
      <c r="AE18" s="24">
        <v>3431039</v>
      </c>
      <c r="AF18" s="24">
        <v>3210477</v>
      </c>
      <c r="AG18" s="24">
        <v>3055657</v>
      </c>
    </row>
    <row r="19" spans="1:33" x14ac:dyDescent="0.3">
      <c r="A19" s="7" t="s">
        <v>30</v>
      </c>
      <c r="F19" s="16">
        <v>228297.7738949543</v>
      </c>
      <c r="G19" s="16">
        <v>215972.08308782804</v>
      </c>
      <c r="H19" s="16">
        <v>293080.75121668819</v>
      </c>
      <c r="I19" s="16">
        <v>639000</v>
      </c>
      <c r="J19" s="16">
        <v>760000</v>
      </c>
      <c r="K19" s="16">
        <v>916000</v>
      </c>
      <c r="L19" s="16">
        <v>1006000</v>
      </c>
      <c r="M19" s="16">
        <v>1132000</v>
      </c>
      <c r="N19" s="16">
        <v>1292000</v>
      </c>
      <c r="O19" s="26">
        <v>1434100</v>
      </c>
      <c r="P19" s="30">
        <v>1586500</v>
      </c>
      <c r="Q19" s="30">
        <v>1736400</v>
      </c>
      <c r="R19" s="16">
        <v>1877412</v>
      </c>
      <c r="S19" s="16">
        <v>1993084</v>
      </c>
      <c r="T19" s="16">
        <v>2211953</v>
      </c>
      <c r="U19" s="28">
        <v>2394702</v>
      </c>
      <c r="V19" s="29">
        <v>2613892</v>
      </c>
      <c r="W19" s="29">
        <v>2841422</v>
      </c>
      <c r="X19" s="21">
        <v>3068028</v>
      </c>
      <c r="Y19" s="22">
        <v>3596766</v>
      </c>
      <c r="Z19" s="22">
        <v>3445776</v>
      </c>
      <c r="AA19" s="23">
        <v>3492803</v>
      </c>
      <c r="AB19" s="24">
        <v>3770622</v>
      </c>
      <c r="AC19" s="24">
        <v>4111795</v>
      </c>
      <c r="AD19" s="25">
        <v>4399995</v>
      </c>
      <c r="AE19" s="24">
        <v>4960145</v>
      </c>
      <c r="AF19" s="24">
        <v>5086457</v>
      </c>
      <c r="AG19" s="24">
        <v>5316470</v>
      </c>
    </row>
    <row r="20" spans="1:33" x14ac:dyDescent="0.3">
      <c r="A20" s="7" t="s">
        <v>26</v>
      </c>
      <c r="F20" s="16">
        <v>1366916.2046480118</v>
      </c>
      <c r="G20" s="16">
        <v>2306539.1536767408</v>
      </c>
      <c r="H20" s="16">
        <v>4398433.8213172602</v>
      </c>
      <c r="I20" s="16">
        <v>7690000</v>
      </c>
      <c r="J20" s="16">
        <v>11431000</v>
      </c>
      <c r="K20" s="16">
        <v>14143000</v>
      </c>
      <c r="L20" s="16">
        <v>17559000</v>
      </c>
      <c r="M20" s="16">
        <v>19625000</v>
      </c>
      <c r="N20" s="16">
        <v>22348000</v>
      </c>
      <c r="O20" s="26">
        <v>26669800</v>
      </c>
      <c r="P20" s="30">
        <v>30341500</v>
      </c>
      <c r="Q20" s="30">
        <v>34319600</v>
      </c>
      <c r="R20" s="16">
        <v>38087990</v>
      </c>
      <c r="S20" s="16">
        <v>39623748</v>
      </c>
      <c r="T20" s="16">
        <v>43741007</v>
      </c>
      <c r="U20" s="28">
        <v>47308008</v>
      </c>
      <c r="V20" s="29">
        <v>51555181</v>
      </c>
      <c r="W20" s="29">
        <v>55847799</v>
      </c>
      <c r="X20" s="21">
        <v>60611568</v>
      </c>
      <c r="Y20" s="22">
        <v>70651231</v>
      </c>
      <c r="Z20" s="22">
        <v>85590843</v>
      </c>
      <c r="AA20" s="23">
        <v>72666743</v>
      </c>
      <c r="AB20" s="24">
        <v>76577292</v>
      </c>
      <c r="AC20" s="24">
        <v>80905556</v>
      </c>
      <c r="AD20" s="25">
        <v>85807124</v>
      </c>
      <c r="AE20" s="24">
        <v>90365562</v>
      </c>
      <c r="AF20" s="24">
        <v>93316238</v>
      </c>
      <c r="AG20" s="24">
        <v>97536109</v>
      </c>
    </row>
    <row r="21" spans="1:33" x14ac:dyDescent="0.3">
      <c r="A21" s="7" t="s">
        <v>31</v>
      </c>
      <c r="F21" s="16">
        <v>19500</v>
      </c>
      <c r="G21" s="16">
        <v>15821</v>
      </c>
      <c r="H21" s="16">
        <v>12894</v>
      </c>
      <c r="I21" s="16">
        <v>16447</v>
      </c>
      <c r="J21" s="16">
        <v>20000</v>
      </c>
      <c r="K21" s="16">
        <v>57000</v>
      </c>
      <c r="L21" s="16">
        <v>67000</v>
      </c>
      <c r="M21" s="16">
        <v>87000</v>
      </c>
      <c r="N21" s="16">
        <v>90000</v>
      </c>
      <c r="O21" s="26">
        <v>146300</v>
      </c>
      <c r="P21" s="30">
        <v>170100</v>
      </c>
      <c r="Q21" s="30">
        <v>204000</v>
      </c>
      <c r="R21" s="16">
        <v>237974</v>
      </c>
      <c r="S21" s="16">
        <v>274092</v>
      </c>
      <c r="T21" s="16">
        <v>371259</v>
      </c>
      <c r="U21" s="28">
        <v>503085</v>
      </c>
      <c r="V21" s="29">
        <v>650311</v>
      </c>
      <c r="W21" s="29">
        <v>816588</v>
      </c>
      <c r="X21" s="21">
        <v>994205</v>
      </c>
      <c r="Y21" s="22">
        <v>1400089</v>
      </c>
      <c r="Z21" s="22">
        <v>1311643</v>
      </c>
      <c r="AA21" s="23">
        <v>1529872</v>
      </c>
      <c r="AB21" s="24">
        <v>1778716</v>
      </c>
      <c r="AC21" s="24">
        <v>2195008</v>
      </c>
      <c r="AD21" s="25">
        <v>2416270</v>
      </c>
      <c r="AE21" s="24">
        <v>3065828</v>
      </c>
      <c r="AF21" s="24">
        <v>3144688</v>
      </c>
      <c r="AG21" s="24">
        <v>3286893</v>
      </c>
    </row>
    <row r="22" spans="1:33" x14ac:dyDescent="0.3">
      <c r="A22" s="7" t="s">
        <v>32</v>
      </c>
      <c r="F22" s="16">
        <v>10945.203671243033</v>
      </c>
      <c r="G22" s="16">
        <v>16212.242637523947</v>
      </c>
      <c r="H22" s="16">
        <v>31961.873229994369</v>
      </c>
      <c r="I22" s="16">
        <v>73920</v>
      </c>
      <c r="J22" s="16">
        <v>16380</v>
      </c>
      <c r="K22" s="16">
        <v>47000</v>
      </c>
      <c r="L22" s="16">
        <v>41000</v>
      </c>
      <c r="M22" s="16">
        <v>106000</v>
      </c>
      <c r="N22" s="16">
        <v>623000</v>
      </c>
      <c r="O22" s="26">
        <v>165500</v>
      </c>
      <c r="P22" s="30">
        <v>173700</v>
      </c>
      <c r="Q22" s="30">
        <v>185300</v>
      </c>
      <c r="R22" s="16">
        <v>239286</v>
      </c>
      <c r="S22" s="16">
        <v>533047</v>
      </c>
      <c r="T22" s="16">
        <v>455607</v>
      </c>
      <c r="U22" s="28">
        <v>412919</v>
      </c>
      <c r="V22" s="29">
        <v>587192</v>
      </c>
      <c r="W22" s="29">
        <v>545842</v>
      </c>
      <c r="X22" s="31">
        <v>416720</v>
      </c>
      <c r="Y22" s="32">
        <v>402346</v>
      </c>
      <c r="Z22" s="32">
        <v>19756613.88668</v>
      </c>
      <c r="AA22" s="33">
        <v>32470490</v>
      </c>
      <c r="AB22" s="34">
        <v>30378767</v>
      </c>
      <c r="AC22" s="34">
        <v>33742879</v>
      </c>
      <c r="AD22" s="35">
        <v>36847959</v>
      </c>
      <c r="AE22" s="34">
        <v>35293028</v>
      </c>
      <c r="AF22" s="34">
        <v>443298</v>
      </c>
      <c r="AG22" s="34">
        <v>463344</v>
      </c>
    </row>
    <row r="24" spans="1:33" x14ac:dyDescent="0.3">
      <c r="A24" s="7" t="s">
        <v>61</v>
      </c>
      <c r="F24" s="15">
        <f>SUM(F15:F22)</f>
        <v>18034400.722755317</v>
      </c>
      <c r="G24" s="15">
        <f>SUM(G15:G22)</f>
        <v>20531283.284361545</v>
      </c>
      <c r="H24" s="15">
        <f t="shared" ref="H24:AG24" si="1">SUM(H15:H22)</f>
        <v>28325014.832089867</v>
      </c>
      <c r="I24" s="15">
        <f t="shared" si="1"/>
        <v>37070367</v>
      </c>
      <c r="J24" s="15">
        <f t="shared" si="1"/>
        <v>44900380</v>
      </c>
      <c r="K24" s="15">
        <f t="shared" si="1"/>
        <v>50813000</v>
      </c>
      <c r="L24" s="15">
        <f t="shared" si="1"/>
        <v>57032000</v>
      </c>
      <c r="M24" s="15">
        <f t="shared" si="1"/>
        <v>62467000</v>
      </c>
      <c r="N24" s="15">
        <f t="shared" si="1"/>
        <v>70715000</v>
      </c>
      <c r="O24" s="15">
        <f t="shared" si="1"/>
        <v>79259700</v>
      </c>
      <c r="P24" s="15">
        <f t="shared" si="1"/>
        <v>87493000</v>
      </c>
      <c r="Q24" s="15">
        <f t="shared" si="1"/>
        <v>95963000</v>
      </c>
      <c r="R24" s="15">
        <f t="shared" si="1"/>
        <v>103898845</v>
      </c>
      <c r="S24" s="15">
        <f t="shared" si="1"/>
        <v>109596591</v>
      </c>
      <c r="T24" s="15">
        <f t="shared" si="1"/>
        <v>119994761</v>
      </c>
      <c r="U24" s="15">
        <f t="shared" si="1"/>
        <v>128333376</v>
      </c>
      <c r="V24" s="15">
        <f t="shared" si="1"/>
        <v>138915638</v>
      </c>
      <c r="W24" s="15">
        <f t="shared" si="1"/>
        <v>150323267</v>
      </c>
      <c r="X24" s="15">
        <f t="shared" si="1"/>
        <v>162709840</v>
      </c>
      <c r="Y24" s="15">
        <f t="shared" si="1"/>
        <v>190040836</v>
      </c>
      <c r="Z24" s="15">
        <f t="shared" si="1"/>
        <v>218945759.88668001</v>
      </c>
      <c r="AA24" s="15">
        <f t="shared" si="1"/>
        <v>222717897</v>
      </c>
      <c r="AB24" s="15">
        <f t="shared" si="1"/>
        <v>232709141</v>
      </c>
      <c r="AC24" s="15">
        <f t="shared" si="1"/>
        <v>250527891</v>
      </c>
      <c r="AD24" s="15">
        <f t="shared" si="1"/>
        <v>269365184</v>
      </c>
      <c r="AE24" s="15">
        <f t="shared" si="1"/>
        <v>284750952</v>
      </c>
      <c r="AF24" s="15">
        <f t="shared" si="1"/>
        <v>259663081</v>
      </c>
      <c r="AG24" s="15">
        <f t="shared" si="1"/>
        <v>271405260</v>
      </c>
    </row>
    <row r="25" spans="1:33" x14ac:dyDescent="0.3">
      <c r="A25" s="7" t="s">
        <v>62</v>
      </c>
      <c r="F25" s="39">
        <f>(F24 * 1000)/(F3*1000000)</f>
        <v>1.658140533597454E-2</v>
      </c>
      <c r="G25" s="39">
        <f t="shared" ref="G25:AG25" si="2">(G24 * 1000)/(G3*1000000)</f>
        <v>1.704529821127837E-2</v>
      </c>
      <c r="H25" s="39">
        <f t="shared" si="2"/>
        <v>2.021866471374802E-2</v>
      </c>
      <c r="I25" s="39">
        <f t="shared" si="2"/>
        <v>2.4312311404374599E-2</v>
      </c>
      <c r="J25" s="39">
        <f t="shared" si="2"/>
        <v>2.6548086218467024E-2</v>
      </c>
      <c r="K25" s="39">
        <f t="shared" si="2"/>
        <v>2.6946163354851164E-2</v>
      </c>
      <c r="L25" s="39">
        <f t="shared" si="2"/>
        <v>2.6706000796047857E-2</v>
      </c>
      <c r="M25" s="39">
        <f t="shared" si="2"/>
        <v>2.5927867507920477E-2</v>
      </c>
      <c r="N25" s="39">
        <f t="shared" si="2"/>
        <v>2.6603018557594605E-2</v>
      </c>
      <c r="O25" s="39">
        <f t="shared" si="2"/>
        <v>2.7878611157325515E-2</v>
      </c>
      <c r="P25" s="39">
        <f t="shared" si="2"/>
        <v>2.8012676189817554E-2</v>
      </c>
      <c r="Q25" s="39">
        <f t="shared" si="2"/>
        <v>2.829796984042638E-2</v>
      </c>
      <c r="R25" s="39">
        <f t="shared" si="2"/>
        <v>2.859353602770549E-2</v>
      </c>
      <c r="S25" s="39">
        <f t="shared" si="2"/>
        <v>2.777853306533988E-2</v>
      </c>
      <c r="T25" s="39">
        <f t="shared" si="2"/>
        <v>2.8565141483371623E-2</v>
      </c>
      <c r="U25" s="39">
        <f t="shared" si="2"/>
        <v>2.8525412132794716E-2</v>
      </c>
      <c r="V25" s="39">
        <f t="shared" si="2"/>
        <v>2.8753851889002341E-2</v>
      </c>
      <c r="W25" s="39">
        <f t="shared" si="2"/>
        <v>2.9254832819815009E-2</v>
      </c>
      <c r="X25" s="39">
        <f t="shared" si="2"/>
        <v>2.9990186963775815E-2</v>
      </c>
      <c r="Y25" s="39">
        <f t="shared" si="2"/>
        <v>3.3286526652750052E-2</v>
      </c>
      <c r="Z25" s="39">
        <f t="shared" si="2"/>
        <v>3.8983624937803045E-2</v>
      </c>
      <c r="AA25" s="39">
        <f t="shared" si="2"/>
        <v>3.520903141050874E-2</v>
      </c>
      <c r="AB25" s="39">
        <f t="shared" si="2"/>
        <v>3.4406838900112605E-2</v>
      </c>
      <c r="AC25" s="39">
        <f t="shared" si="2"/>
        <v>3.5323832867641743E-2</v>
      </c>
      <c r="AD25" s="39">
        <f t="shared" si="2"/>
        <v>3.636689898227026E-2</v>
      </c>
      <c r="AE25" s="39">
        <f t="shared" si="2"/>
        <v>3.6171909681171246E-2</v>
      </c>
      <c r="AF25" s="39">
        <f t="shared" si="2"/>
        <v>3.1092150744012712E-2</v>
      </c>
      <c r="AG25" s="39">
        <f t="shared" si="2"/>
        <v>3.0527311403585732E-2</v>
      </c>
    </row>
    <row r="27" spans="1:33" x14ac:dyDescent="0.3">
      <c r="A27" s="7" t="s">
        <v>45</v>
      </c>
      <c r="F27" s="39">
        <f>(F15*1000)/(F3 * 1000000)</f>
        <v>1.117990092608725E-2</v>
      </c>
      <c r="G27" s="39">
        <f t="shared" ref="G27:AG27" si="3">(G15*1000)/(G3 * 1000000)</f>
        <v>1.0844845154012626E-2</v>
      </c>
      <c r="H27" s="39">
        <f t="shared" si="3"/>
        <v>1.1211411041601222E-2</v>
      </c>
      <c r="I27" s="39">
        <f t="shared" si="3"/>
        <v>1.124507052599201E-2</v>
      </c>
      <c r="J27" s="39">
        <f t="shared" si="3"/>
        <v>1.0940793538640737E-2</v>
      </c>
      <c r="K27" s="39">
        <f t="shared" si="3"/>
        <v>1.0355179419246623E-2</v>
      </c>
      <c r="L27" s="39">
        <f t="shared" si="3"/>
        <v>9.9374868300906097E-3</v>
      </c>
      <c r="M27" s="39">
        <f t="shared" si="3"/>
        <v>9.4638978508347574E-3</v>
      </c>
      <c r="N27" s="39">
        <f t="shared" si="3"/>
        <v>9.7563838403826406E-3</v>
      </c>
      <c r="O27" s="39">
        <f t="shared" si="3"/>
        <v>1.0491064283902837E-2</v>
      </c>
      <c r="P27" s="39">
        <f t="shared" si="3"/>
        <v>1.0805945950099509E-2</v>
      </c>
      <c r="Q27" s="39">
        <f t="shared" si="3"/>
        <v>1.0946100481191993E-2</v>
      </c>
      <c r="R27" s="39">
        <f t="shared" si="3"/>
        <v>1.1138949342368882E-2</v>
      </c>
      <c r="S27" s="39">
        <f t="shared" si="3"/>
        <v>1.1168594833944598E-2</v>
      </c>
      <c r="T27" s="39">
        <f t="shared" si="3"/>
        <v>1.1675260864690302E-2</v>
      </c>
      <c r="U27" s="39">
        <f t="shared" si="3"/>
        <v>1.1810512714846294E-2</v>
      </c>
      <c r="V27" s="39">
        <f t="shared" si="3"/>
        <v>1.2072981438776817E-2</v>
      </c>
      <c r="W27" s="39">
        <f t="shared" si="3"/>
        <v>1.2480550590766634E-2</v>
      </c>
      <c r="X27" s="39">
        <f t="shared" si="3"/>
        <v>1.3002106374492299E-2</v>
      </c>
      <c r="Y27" s="39">
        <f t="shared" si="3"/>
        <v>1.4623350700495792E-2</v>
      </c>
      <c r="Z27" s="39">
        <f t="shared" si="3"/>
        <v>1.4426615710696195E-2</v>
      </c>
      <c r="AA27" s="39">
        <f t="shared" si="3"/>
        <v>1.3295563575887783E-2</v>
      </c>
      <c r="AB27" s="39">
        <f t="shared" si="3"/>
        <v>1.3403686961222192E-2</v>
      </c>
      <c r="AC27" s="39">
        <f t="shared" si="3"/>
        <v>1.3890411584701704E-2</v>
      </c>
      <c r="AD27" s="39">
        <f t="shared" si="3"/>
        <v>1.4448160615039157E-2</v>
      </c>
      <c r="AE27" s="39">
        <f t="shared" si="3"/>
        <v>1.4908498140979658E-2</v>
      </c>
      <c r="AF27" s="39">
        <f t="shared" si="3"/>
        <v>1.4659087580853181E-2</v>
      </c>
      <c r="AG27" s="39">
        <f t="shared" si="3"/>
        <v>1.4421435876116858E-2</v>
      </c>
    </row>
    <row r="28" spans="1:33" x14ac:dyDescent="0.3">
      <c r="A28" s="7" t="s">
        <v>46</v>
      </c>
      <c r="F28" s="39">
        <f>(F16*1000)/(F3*1000000)</f>
        <v>2.572554777231666E-5</v>
      </c>
      <c r="G28" s="39">
        <f t="shared" ref="G28:AG28" si="4">(G16*1000)/(G3*1000000)</f>
        <v>2.178199519731632E-5</v>
      </c>
      <c r="H28" s="39">
        <f t="shared" si="4"/>
        <v>2.3018349774533785E-5</v>
      </c>
      <c r="I28" s="39">
        <f t="shared" si="4"/>
        <v>2.2298635126777579E-5</v>
      </c>
      <c r="J28" s="39">
        <f t="shared" si="4"/>
        <v>2.1285590542102602E-5</v>
      </c>
      <c r="K28" s="39">
        <f t="shared" si="4"/>
        <v>1.4848416230803782E-5</v>
      </c>
      <c r="L28" s="39">
        <f t="shared" si="4"/>
        <v>1.1706586125354124E-5</v>
      </c>
      <c r="M28" s="39">
        <f t="shared" si="4"/>
        <v>9.1314307582283536E-6</v>
      </c>
      <c r="N28" s="39">
        <f t="shared" si="4"/>
        <v>7.5240100565918418E-6</v>
      </c>
      <c r="O28" s="39">
        <f t="shared" si="4"/>
        <v>5.8388430086362116E-6</v>
      </c>
      <c r="P28" s="39">
        <f t="shared" si="4"/>
        <v>4.482386781313314E-6</v>
      </c>
      <c r="Q28" s="39">
        <f t="shared" si="4"/>
        <v>3.4796332348616787E-6</v>
      </c>
      <c r="R28" s="39">
        <f t="shared" si="4"/>
        <v>2.6262863106167686E-6</v>
      </c>
      <c r="S28" s="39">
        <f t="shared" si="4"/>
        <v>1.9407558733401431E-6</v>
      </c>
      <c r="T28" s="39">
        <f t="shared" si="4"/>
        <v>1.4711690151808931E-6</v>
      </c>
      <c r="U28" s="39">
        <f t="shared" si="4"/>
        <v>1.0762597373499471E-6</v>
      </c>
      <c r="V28" s="39">
        <f t="shared" si="4"/>
        <v>7.9690329588853781E-7</v>
      </c>
      <c r="W28" s="39">
        <f t="shared" si="4"/>
        <v>6.005751197647209E-7</v>
      </c>
      <c r="X28" s="39">
        <f t="shared" si="4"/>
        <v>4.3867442174232633E-7</v>
      </c>
      <c r="Y28" s="39">
        <f t="shared" si="4"/>
        <v>3.0862240556627309E-7</v>
      </c>
      <c r="Z28" s="39">
        <f t="shared" si="4"/>
        <v>1.9603472147044915E-7</v>
      </c>
      <c r="AA28" s="39">
        <f t="shared" si="4"/>
        <v>1.112939662545312E-7</v>
      </c>
      <c r="AB28" s="39">
        <f t="shared" si="4"/>
        <v>7.6588063853745777E-8</v>
      </c>
      <c r="AC28" s="39">
        <f t="shared" si="4"/>
        <v>4.0748308134476182E-8</v>
      </c>
      <c r="AD28" s="39">
        <f t="shared" si="4"/>
        <v>2.457175614341157E-8</v>
      </c>
      <c r="AE28" s="39">
        <f t="shared" si="4"/>
        <v>1.3465178603526326E-8</v>
      </c>
      <c r="AF28" s="39">
        <f t="shared" si="4"/>
        <v>7.1844215876062979E-9</v>
      </c>
      <c r="AG28" s="39">
        <f t="shared" si="4"/>
        <v>7.0861582359380253E-9</v>
      </c>
    </row>
    <row r="29" spans="1:33" x14ac:dyDescent="0.3">
      <c r="A29" s="7" t="s">
        <v>28</v>
      </c>
      <c r="F29" s="39">
        <f>(F17 * 1000)/(F3*1000000)</f>
        <v>3.6411515724208846E-3</v>
      </c>
      <c r="G29" s="39">
        <f t="shared" ref="G29:AG29" si="5">(G17 * 1000)/(G3*1000000)</f>
        <v>3.7740741640310701E-3</v>
      </c>
      <c r="H29" s="39">
        <f t="shared" si="5"/>
        <v>5.0769799676409688E-3</v>
      </c>
      <c r="I29" s="39">
        <f t="shared" si="5"/>
        <v>6.774194183073106E-3</v>
      </c>
      <c r="J29" s="39">
        <f t="shared" si="5"/>
        <v>7.4322186976174924E-3</v>
      </c>
      <c r="K29" s="39">
        <f t="shared" si="5"/>
        <v>7.4767078727893755E-3</v>
      </c>
      <c r="L29" s="39">
        <f t="shared" si="5"/>
        <v>6.6779049893470064E-3</v>
      </c>
      <c r="M29" s="39">
        <f t="shared" si="5"/>
        <v>6.3421937266240564E-3</v>
      </c>
      <c r="N29" s="39">
        <f t="shared" si="5"/>
        <v>6.1975270836146998E-3</v>
      </c>
      <c r="O29" s="39">
        <f t="shared" si="5"/>
        <v>5.8271301488658752E-3</v>
      </c>
      <c r="P29" s="39">
        <f t="shared" si="5"/>
        <v>5.3917349910480332E-3</v>
      </c>
      <c r="Q29" s="39">
        <f t="shared" si="5"/>
        <v>5.123612496247599E-3</v>
      </c>
      <c r="R29" s="39">
        <f t="shared" si="5"/>
        <v>4.8536814793287628E-3</v>
      </c>
      <c r="S29" s="39">
        <f t="shared" si="5"/>
        <v>4.5036665762653435E-3</v>
      </c>
      <c r="T29" s="39">
        <f t="shared" si="5"/>
        <v>4.4622567780303523E-3</v>
      </c>
      <c r="U29" s="39">
        <f t="shared" si="5"/>
        <v>4.2603546100236636E-3</v>
      </c>
      <c r="V29" s="39">
        <f t="shared" si="5"/>
        <v>4.1088236651714554E-3</v>
      </c>
      <c r="W29" s="39">
        <f t="shared" si="5"/>
        <v>4.0735073976219871E-3</v>
      </c>
      <c r="X29" s="39">
        <f t="shared" si="5"/>
        <v>4.0477174553344656E-3</v>
      </c>
      <c r="Y29" s="39">
        <f t="shared" si="5"/>
        <v>4.3982206394474086E-3</v>
      </c>
      <c r="Z29" s="39">
        <f t="shared" si="5"/>
        <v>4.1008328893915478E-3</v>
      </c>
      <c r="AA29" s="39">
        <f t="shared" si="5"/>
        <v>3.8069972919522132E-3</v>
      </c>
      <c r="AB29" s="39">
        <f t="shared" si="5"/>
        <v>3.7533827380558105E-3</v>
      </c>
      <c r="AC29" s="39">
        <f t="shared" si="5"/>
        <v>3.8069676504962624E-3</v>
      </c>
      <c r="AD29" s="39">
        <f t="shared" si="5"/>
        <v>3.9468007978530227E-3</v>
      </c>
      <c r="AE29" s="39">
        <f t="shared" si="5"/>
        <v>3.8456049593523097E-3</v>
      </c>
      <c r="AF29" s="39">
        <f t="shared" si="5"/>
        <v>3.8362314691315937E-3</v>
      </c>
      <c r="AG29" s="39">
        <f t="shared" si="5"/>
        <v>3.7716257176703596E-3</v>
      </c>
    </row>
    <row r="30" spans="1:33" x14ac:dyDescent="0.3">
      <c r="A30" s="7" t="s">
        <v>29</v>
      </c>
      <c r="F30" s="39">
        <f>(F18*1000)/(F3*1000000)</f>
        <v>2.3994419748406108E-4</v>
      </c>
      <c r="G30" s="39">
        <f t="shared" ref="G30:AG30" si="6">(G18*1000)/(G3*1000000)</f>
        <v>2.8378584875678409E-4</v>
      </c>
      <c r="H30" s="39">
        <f t="shared" si="6"/>
        <v>5.2638912851082843E-4</v>
      </c>
      <c r="I30" s="39">
        <f t="shared" si="6"/>
        <v>7.4897180337588217E-4</v>
      </c>
      <c r="J30" s="39">
        <f t="shared" si="6"/>
        <v>9.2414938936962138E-4</v>
      </c>
      <c r="K30" s="39">
        <f t="shared" si="6"/>
        <v>1.058479957024441E-3</v>
      </c>
      <c r="L30" s="39">
        <f t="shared" si="6"/>
        <v>1.3350190817353843E-3</v>
      </c>
      <c r="M30" s="39">
        <f t="shared" si="6"/>
        <v>1.4170320276632544E-3</v>
      </c>
      <c r="N30" s="39">
        <f t="shared" si="6"/>
        <v>1.4799727781316153E-3</v>
      </c>
      <c r="O30" s="39">
        <f t="shared" si="6"/>
        <v>1.5597097321202141E-3</v>
      </c>
      <c r="P30" s="39">
        <f t="shared" si="6"/>
        <v>1.4780350240896272E-3</v>
      </c>
      <c r="Q30" s="39">
        <f t="shared" si="6"/>
        <v>1.4776350997091853E-3</v>
      </c>
      <c r="R30" s="39">
        <f t="shared" si="6"/>
        <v>1.4682349528627979E-3</v>
      </c>
      <c r="S30" s="39">
        <f t="shared" si="6"/>
        <v>1.3514811031664965E-3</v>
      </c>
      <c r="T30" s="39">
        <f t="shared" si="6"/>
        <v>1.2900635864005899E-3</v>
      </c>
      <c r="U30" s="39">
        <f t="shared" si="6"/>
        <v>1.2021501188953601E-3</v>
      </c>
      <c r="V30" s="39">
        <f t="shared" si="6"/>
        <v>1.1027607834987615E-3</v>
      </c>
      <c r="W30" s="39">
        <f t="shared" si="6"/>
        <v>1.0133539415320854E-3</v>
      </c>
      <c r="X30" s="39">
        <f t="shared" si="6"/>
        <v>9.4263594667783382E-4</v>
      </c>
      <c r="Y30" s="39">
        <f t="shared" si="6"/>
        <v>9.4406367780521482E-4</v>
      </c>
      <c r="Z30" s="39">
        <f t="shared" si="6"/>
        <v>8.516399969232698E-4</v>
      </c>
      <c r="AA30" s="39">
        <f t="shared" si="6"/>
        <v>6.9139748229018951E-4</v>
      </c>
      <c r="AB30" s="39">
        <f t="shared" si="6"/>
        <v>6.1538657159889863E-4</v>
      </c>
      <c r="AC30" s="39">
        <f t="shared" si="6"/>
        <v>5.7201389277611455E-4</v>
      </c>
      <c r="AD30" s="39">
        <f t="shared" si="6"/>
        <v>4.9203173050777935E-4</v>
      </c>
      <c r="AE30" s="39">
        <f t="shared" si="6"/>
        <v>4.3584483896853176E-4</v>
      </c>
      <c r="AF30" s="39">
        <f t="shared" si="6"/>
        <v>3.8442367108855842E-4</v>
      </c>
      <c r="AG30" s="39">
        <f t="shared" si="6"/>
        <v>3.4369633359923298E-4</v>
      </c>
    </row>
    <row r="31" spans="1:33" x14ac:dyDescent="0.3">
      <c r="A31" s="7" t="s">
        <v>30</v>
      </c>
      <c r="F31" s="39">
        <f>(F19*1000)/(F3*1000000)</f>
        <v>2.0990428151440962E-4</v>
      </c>
      <c r="G31" s="39">
        <f t="shared" ref="G31:AG31" si="7">(G19*1000)/(G3*1000000)</f>
        <v>1.7930240942839806E-4</v>
      </c>
      <c r="H31" s="39">
        <f t="shared" si="7"/>
        <v>2.0920382488874437E-4</v>
      </c>
      <c r="I31" s="39">
        <f t="shared" si="7"/>
        <v>4.1908317194149625E-4</v>
      </c>
      <c r="J31" s="39">
        <f t="shared" si="7"/>
        <v>4.4936246699994384E-4</v>
      </c>
      <c r="K31" s="39">
        <f t="shared" si="7"/>
        <v>4.8575533097915228E-4</v>
      </c>
      <c r="L31" s="39">
        <f t="shared" si="7"/>
        <v>4.7107302568424994E-4</v>
      </c>
      <c r="M31" s="39">
        <f t="shared" si="7"/>
        <v>4.6985361901429523E-4</v>
      </c>
      <c r="N31" s="39">
        <f t="shared" si="7"/>
        <v>4.8605104965583298E-4</v>
      </c>
      <c r="O31" s="39">
        <f t="shared" si="7"/>
        <v>5.0442679269187903E-4</v>
      </c>
      <c r="P31" s="39">
        <f t="shared" si="7"/>
        <v>5.0795047346811233E-4</v>
      </c>
      <c r="Q31" s="39">
        <f t="shared" si="7"/>
        <v>5.1203687703506935E-4</v>
      </c>
      <c r="R31" s="39">
        <f t="shared" si="7"/>
        <v>5.166741522569055E-4</v>
      </c>
      <c r="S31" s="39">
        <f t="shared" si="7"/>
        <v>5.0517036424974082E-4</v>
      </c>
      <c r="T31" s="39">
        <f t="shared" si="7"/>
        <v>5.2656257550751161E-4</v>
      </c>
      <c r="U31" s="39">
        <f t="shared" si="7"/>
        <v>5.3228445798252642E-4</v>
      </c>
      <c r="V31" s="39">
        <f t="shared" si="7"/>
        <v>5.410439350380992E-4</v>
      </c>
      <c r="W31" s="39">
        <f t="shared" si="7"/>
        <v>5.5297710886328998E-4</v>
      </c>
      <c r="X31" s="39">
        <f t="shared" si="7"/>
        <v>5.6548966755851516E-4</v>
      </c>
      <c r="Y31" s="39">
        <f t="shared" si="7"/>
        <v>6.2999011077127223E-4</v>
      </c>
      <c r="Z31" s="39">
        <f t="shared" si="7"/>
        <v>6.1352564796508476E-4</v>
      </c>
      <c r="AA31" s="39">
        <f t="shared" si="7"/>
        <v>5.5217031138597348E-4</v>
      </c>
      <c r="AB31" s="39">
        <f t="shared" si="7"/>
        <v>5.574993021319278E-4</v>
      </c>
      <c r="AC31" s="39">
        <f t="shared" si="7"/>
        <v>5.7975325136954499E-4</v>
      </c>
      <c r="AD31" s="39">
        <f t="shared" si="7"/>
        <v>5.9404178116609992E-4</v>
      </c>
      <c r="AE31" s="39">
        <f t="shared" si="7"/>
        <v>6.3008715400366126E-4</v>
      </c>
      <c r="AF31" s="39">
        <f t="shared" si="7"/>
        <v>6.0905419125385275E-4</v>
      </c>
      <c r="AG31" s="39">
        <f t="shared" si="7"/>
        <v>5.9798964566059416E-4</v>
      </c>
    </row>
    <row r="32" spans="1:33" x14ac:dyDescent="0.3">
      <c r="A32" s="7" t="s">
        <v>26</v>
      </c>
      <c r="F32" s="39">
        <f>(F20*1000)/(F3*1000000)</f>
        <v>1.2567865158381467E-3</v>
      </c>
      <c r="G32" s="39">
        <f t="shared" ref="G32:AG32" si="8">(G20*1000)/(G3*1000000)</f>
        <v>1.9149142879128251E-3</v>
      </c>
      <c r="H32" s="39">
        <f t="shared" si="8"/>
        <v>3.1396438528276563E-3</v>
      </c>
      <c r="I32" s="39">
        <f t="shared" si="8"/>
        <v>5.0434265919093993E-3</v>
      </c>
      <c r="J32" s="39">
        <f t="shared" si="8"/>
        <v>6.7587662635215234E-3</v>
      </c>
      <c r="K32" s="39">
        <f t="shared" si="8"/>
        <v>7.500041098294925E-3</v>
      </c>
      <c r="L32" s="39">
        <f t="shared" si="8"/>
        <v>8.2222378310037227E-3</v>
      </c>
      <c r="M32" s="39">
        <f t="shared" si="8"/>
        <v>8.1456513013741551E-3</v>
      </c>
      <c r="N32" s="39">
        <f t="shared" si="8"/>
        <v>8.4073288372357238E-3</v>
      </c>
      <c r="O32" s="39">
        <f t="shared" si="8"/>
        <v>9.3807695946822919E-3</v>
      </c>
      <c r="P32" s="39">
        <f t="shared" si="8"/>
        <v>9.7144527518012794E-3</v>
      </c>
      <c r="Q32" s="39">
        <f t="shared" si="8"/>
        <v>1.012030684467448E-2</v>
      </c>
      <c r="R32" s="39">
        <f t="shared" si="8"/>
        <v>1.0482025226439104E-2</v>
      </c>
      <c r="S32" s="39">
        <f t="shared" si="8"/>
        <v>1.0043100647087598E-2</v>
      </c>
      <c r="T32" s="39">
        <f t="shared" si="8"/>
        <v>1.0412688380454782E-2</v>
      </c>
      <c r="U32" s="39">
        <f t="shared" si="8"/>
        <v>1.0515428390051465E-2</v>
      </c>
      <c r="V32" s="39">
        <f t="shared" si="8"/>
        <v>1.067129705429354E-2</v>
      </c>
      <c r="W32" s="39">
        <f t="shared" si="8"/>
        <v>1.0868696880434563E-2</v>
      </c>
      <c r="X32" s="39">
        <f t="shared" si="8"/>
        <v>1.1171741404746088E-2</v>
      </c>
      <c r="Y32" s="39">
        <f t="shared" si="8"/>
        <v>1.2374888119999117E-2</v>
      </c>
      <c r="Z32" s="39">
        <f t="shared" si="8"/>
        <v>1.5239579534900946E-2</v>
      </c>
      <c r="AA32" s="39">
        <f t="shared" si="8"/>
        <v>1.1487741538733937E-2</v>
      </c>
      <c r="AB32" s="39">
        <f t="shared" si="8"/>
        <v>1.1322213377302964E-2</v>
      </c>
      <c r="AC32" s="39">
        <f t="shared" si="8"/>
        <v>1.1407489708232244E-2</v>
      </c>
      <c r="AD32" s="39">
        <f t="shared" si="8"/>
        <v>1.1584789704920211E-2</v>
      </c>
      <c r="AE32" s="39">
        <f t="shared" si="8"/>
        <v>1.1479136150358791E-2</v>
      </c>
      <c r="AF32" s="39">
        <f t="shared" si="8"/>
        <v>1.117371991269012E-2</v>
      </c>
      <c r="AG32" s="39">
        <f t="shared" si="8"/>
        <v>1.0970734953836492E-2</v>
      </c>
    </row>
    <row r="33" spans="1:33" x14ac:dyDescent="0.3">
      <c r="A33" s="7" t="s">
        <v>31</v>
      </c>
      <c r="F33" s="39">
        <f>(F21*1000)/(F3*1000000)</f>
        <v>1.7928924227769053E-5</v>
      </c>
      <c r="G33" s="39">
        <f t="shared" ref="G33:AG33" si="9">(G21*1000)/(G3*1000000)</f>
        <v>1.3134768989624853E-5</v>
      </c>
      <c r="H33" s="39">
        <f t="shared" si="9"/>
        <v>9.2038597107358368E-6</v>
      </c>
      <c r="I33" s="39">
        <f t="shared" si="9"/>
        <v>1.0786636821473848E-5</v>
      </c>
      <c r="J33" s="39">
        <f t="shared" si="9"/>
        <v>1.182532807894589E-5</v>
      </c>
      <c r="K33" s="39">
        <f t="shared" si="9"/>
        <v>3.0227133041279128E-5</v>
      </c>
      <c r="L33" s="39">
        <f t="shared" si="9"/>
        <v>3.1373650815949051E-5</v>
      </c>
      <c r="M33" s="39">
        <f t="shared" si="9"/>
        <v>3.6110657998448484E-5</v>
      </c>
      <c r="N33" s="39">
        <f t="shared" si="9"/>
        <v>3.3858045254663285E-5</v>
      </c>
      <c r="O33" s="39">
        <f t="shared" si="9"/>
        <v>5.1459200732739624E-5</v>
      </c>
      <c r="P33" s="39">
        <f t="shared" si="9"/>
        <v>5.4460999392956761E-5</v>
      </c>
      <c r="Q33" s="39">
        <f t="shared" si="9"/>
        <v>6.0156371178964617E-5</v>
      </c>
      <c r="R33" s="39">
        <f t="shared" si="9"/>
        <v>6.5491759245804763E-5</v>
      </c>
      <c r="S33" s="39">
        <f t="shared" si="9"/>
        <v>6.947181126231507E-5</v>
      </c>
      <c r="T33" s="39">
        <f t="shared" si="9"/>
        <v>8.8379407347417992E-5</v>
      </c>
      <c r="U33" s="39">
        <f t="shared" si="9"/>
        <v>1.1182365344169727E-4</v>
      </c>
      <c r="V33" s="39">
        <f t="shared" si="9"/>
        <v>1.3460648811755089E-4</v>
      </c>
      <c r="W33" s="39">
        <f t="shared" si="9"/>
        <v>1.5891848214466425E-4</v>
      </c>
      <c r="X33" s="39">
        <f t="shared" si="9"/>
        <v>1.8324886700349981E-4</v>
      </c>
      <c r="Y33" s="39">
        <f t="shared" si="9"/>
        <v>2.4523202905044137E-4</v>
      </c>
      <c r="Z33" s="39">
        <f t="shared" si="9"/>
        <v>2.3354002740568966E-4</v>
      </c>
      <c r="AA33" s="39">
        <f t="shared" si="9"/>
        <v>2.4185443571271613E-4</v>
      </c>
      <c r="AB33" s="39">
        <f t="shared" si="9"/>
        <v>2.6298921734687117E-4</v>
      </c>
      <c r="AC33" s="39">
        <f t="shared" si="9"/>
        <v>3.0949087315446469E-4</v>
      </c>
      <c r="AD33" s="39">
        <f t="shared" si="9"/>
        <v>3.2621976492659932E-4</v>
      </c>
      <c r="AE33" s="39">
        <f t="shared" si="9"/>
        <v>3.8945209044992369E-4</v>
      </c>
      <c r="AF33" s="39">
        <f t="shared" si="9"/>
        <v>3.7654607255810791E-4</v>
      </c>
      <c r="AG33" s="39">
        <f t="shared" si="9"/>
        <v>3.6970545877138163E-4</v>
      </c>
    </row>
    <row r="34" spans="1:33" x14ac:dyDescent="0.3">
      <c r="A34" s="7" t="s">
        <v>32</v>
      </c>
      <c r="F34" s="39">
        <f>(F22 * 1000)/(F3*1000000)</f>
        <v>1.0063370629703384E-5</v>
      </c>
      <c r="G34" s="39">
        <f t="shared" ref="G34:AG34" si="10">(G22 * 1000)/(G3*1000000)</f>
        <v>1.3459582949726527E-5</v>
      </c>
      <c r="H34" s="39">
        <f t="shared" si="10"/>
        <v>2.2814688793329568E-5</v>
      </c>
      <c r="I34" s="39">
        <f t="shared" si="10"/>
        <v>4.8479856134452897E-5</v>
      </c>
      <c r="J34" s="39">
        <f t="shared" si="10"/>
        <v>9.6849436966566847E-6</v>
      </c>
      <c r="K34" s="39">
        <f t="shared" si="10"/>
        <v>2.4924127244563492E-5</v>
      </c>
      <c r="L34" s="39">
        <f t="shared" si="10"/>
        <v>1.9198801245580763E-5</v>
      </c>
      <c r="M34" s="39">
        <f t="shared" si="10"/>
        <v>4.3996893653282061E-5</v>
      </c>
      <c r="N34" s="39">
        <f t="shared" si="10"/>
        <v>2.3437291326283588E-4</v>
      </c>
      <c r="O34" s="39">
        <f t="shared" si="10"/>
        <v>5.8212561321041749E-5</v>
      </c>
      <c r="P34" s="39">
        <f t="shared" si="10"/>
        <v>5.5613613136723045E-5</v>
      </c>
      <c r="Q34" s="39">
        <f t="shared" si="10"/>
        <v>5.4642037154226191E-5</v>
      </c>
      <c r="R34" s="39">
        <f t="shared" si="10"/>
        <v>6.5852828892617012E-5</v>
      </c>
      <c r="S34" s="39">
        <f t="shared" si="10"/>
        <v>1.3510697349044577E-4</v>
      </c>
      <c r="T34" s="39">
        <f t="shared" si="10"/>
        <v>1.0845872192548886E-4</v>
      </c>
      <c r="U34" s="39">
        <f t="shared" si="10"/>
        <v>9.1781927816357456E-5</v>
      </c>
      <c r="V34" s="39">
        <f t="shared" si="10"/>
        <v>1.2154162081022917E-4</v>
      </c>
      <c r="W34" s="39">
        <f t="shared" si="10"/>
        <v>1.0622784333202034E-4</v>
      </c>
      <c r="X34" s="39">
        <f t="shared" si="10"/>
        <v>7.6808573541370688E-5</v>
      </c>
      <c r="Y34" s="39">
        <f t="shared" si="10"/>
        <v>7.0472752775237068E-5</v>
      </c>
      <c r="Z34" s="39">
        <f t="shared" si="10"/>
        <v>3.5176950957988389E-3</v>
      </c>
      <c r="AA34" s="39">
        <f t="shared" si="10"/>
        <v>5.1331954805796769E-3</v>
      </c>
      <c r="AB34" s="39">
        <f t="shared" si="10"/>
        <v>4.4916041443900873E-3</v>
      </c>
      <c r="AC34" s="39">
        <f t="shared" si="10"/>
        <v>4.7576651586032723E-3</v>
      </c>
      <c r="AD34" s="39">
        <f t="shared" si="10"/>
        <v>4.9748300161012509E-3</v>
      </c>
      <c r="AE34" s="39">
        <f t="shared" si="10"/>
        <v>4.4832728818797697E-3</v>
      </c>
      <c r="AF34" s="39">
        <f t="shared" si="10"/>
        <v>5.3080662015711612E-5</v>
      </c>
      <c r="AG34" s="39">
        <f t="shared" si="10"/>
        <v>5.2116331772578866E-5</v>
      </c>
    </row>
    <row r="36" spans="1:33" x14ac:dyDescent="0.3">
      <c r="A36" s="7" t="s">
        <v>63</v>
      </c>
    </row>
    <row r="37" spans="1:33" s="41" customFormat="1" x14ac:dyDescent="0.3">
      <c r="A37" s="40" t="s">
        <v>64</v>
      </c>
      <c r="G37" s="42">
        <f>(G24-F24)/F24</f>
        <v>0.13845109687818624</v>
      </c>
      <c r="H37" s="42">
        <f t="shared" ref="H37:AG37" si="11">(H24-G24)/G24</f>
        <v>0.37960274765994401</v>
      </c>
      <c r="I37" s="42">
        <f t="shared" si="11"/>
        <v>0.30875013551634162</v>
      </c>
      <c r="J37" s="42">
        <f t="shared" si="11"/>
        <v>0.21122027197626611</v>
      </c>
      <c r="K37" s="42">
        <f t="shared" si="11"/>
        <v>0.13168307261542106</v>
      </c>
      <c r="L37" s="42">
        <f t="shared" si="11"/>
        <v>0.12238993958239033</v>
      </c>
      <c r="M37" s="42">
        <f t="shared" si="11"/>
        <v>9.5297376911207737E-2</v>
      </c>
      <c r="N37" s="42">
        <f t="shared" si="11"/>
        <v>0.1320377159140026</v>
      </c>
      <c r="O37" s="42">
        <f t="shared" si="11"/>
        <v>0.12083292087958708</v>
      </c>
      <c r="P37" s="42">
        <f t="shared" si="11"/>
        <v>0.10387750647554811</v>
      </c>
      <c r="Q37" s="42">
        <f t="shared" si="11"/>
        <v>9.6807744619569563E-2</v>
      </c>
      <c r="R37" s="42">
        <f t="shared" si="11"/>
        <v>8.2696924856455092E-2</v>
      </c>
      <c r="S37" s="42">
        <f t="shared" si="11"/>
        <v>5.4839358416351978E-2</v>
      </c>
      <c r="T37" s="42">
        <f t="shared" si="11"/>
        <v>9.4876764916894174E-2</v>
      </c>
      <c r="U37" s="42">
        <f t="shared" si="11"/>
        <v>6.9491492216064335E-2</v>
      </c>
      <c r="V37" s="42">
        <f t="shared" si="11"/>
        <v>8.2459157000591962E-2</v>
      </c>
      <c r="W37" s="42">
        <f t="shared" si="11"/>
        <v>8.2119113184363018E-2</v>
      </c>
      <c r="X37" s="42">
        <f t="shared" si="11"/>
        <v>8.2399572915083069E-2</v>
      </c>
      <c r="Y37" s="42">
        <f t="shared" si="11"/>
        <v>0.16797383612447778</v>
      </c>
      <c r="Z37" s="42">
        <f t="shared" si="11"/>
        <v>0.15209848838320206</v>
      </c>
      <c r="AA37" s="42">
        <f t="shared" si="11"/>
        <v>1.7228637427243815E-2</v>
      </c>
      <c r="AB37" s="42">
        <f t="shared" si="11"/>
        <v>4.4860534939408128E-2</v>
      </c>
      <c r="AC37" s="42">
        <f t="shared" si="11"/>
        <v>7.6570907027670221E-2</v>
      </c>
      <c r="AD37" s="42">
        <f t="shared" si="11"/>
        <v>7.5190402652613231E-2</v>
      </c>
      <c r="AE37" s="42">
        <f t="shared" si="11"/>
        <v>5.7118621536478897E-2</v>
      </c>
      <c r="AF37" s="42">
        <f t="shared" si="11"/>
        <v>-8.8104607987403674E-2</v>
      </c>
      <c r="AG37" s="42">
        <f t="shared" si="11"/>
        <v>4.5220825982573931E-2</v>
      </c>
    </row>
    <row r="38" spans="1:33" x14ac:dyDescent="0.3">
      <c r="A38" s="7" t="s">
        <v>45</v>
      </c>
      <c r="G38" s="39">
        <f t="shared" ref="G38:G45" si="12">(G15-F15)/F15</f>
        <v>7.4277580752990943E-2</v>
      </c>
      <c r="H38" s="39">
        <f t="shared" ref="H38:AG38" si="13">(H15-G15)/G15</f>
        <v>0.2023837656192681</v>
      </c>
      <c r="I38" s="39">
        <f t="shared" si="13"/>
        <v>9.1653643343410141E-2</v>
      </c>
      <c r="J38" s="39">
        <f t="shared" si="13"/>
        <v>7.9202146273183255E-2</v>
      </c>
      <c r="K38" s="39">
        <f t="shared" si="13"/>
        <v>5.5285343709468221E-2</v>
      </c>
      <c r="L38" s="39">
        <f t="shared" si="13"/>
        <v>8.6802888308495932E-2</v>
      </c>
      <c r="M38" s="39">
        <f t="shared" si="13"/>
        <v>7.4403920459900103E-2</v>
      </c>
      <c r="N38" s="39">
        <f t="shared" si="13"/>
        <v>0.13740625411166177</v>
      </c>
      <c r="O38" s="39">
        <f t="shared" si="13"/>
        <v>0.15008868666615255</v>
      </c>
      <c r="P38" s="39">
        <f t="shared" si="13"/>
        <v>0.13156800686640024</v>
      </c>
      <c r="Q38" s="39">
        <f t="shared" si="13"/>
        <v>9.9832299277642478E-2</v>
      </c>
      <c r="R38" s="39">
        <f t="shared" si="13"/>
        <v>9.0383108836206899E-2</v>
      </c>
      <c r="S38" s="39">
        <f t="shared" si="13"/>
        <v>8.8677359796799124E-2</v>
      </c>
      <c r="T38" s="39">
        <f t="shared" si="13"/>
        <v>0.11302834482174991</v>
      </c>
      <c r="U38" s="39">
        <f t="shared" si="13"/>
        <v>8.3387809096048551E-2</v>
      </c>
      <c r="V38" s="39">
        <f t="shared" si="13"/>
        <v>9.7724093701037559E-2</v>
      </c>
      <c r="W38" s="39">
        <f t="shared" si="13"/>
        <v>9.9493562158177173E-2</v>
      </c>
      <c r="X38" s="39">
        <f t="shared" si="13"/>
        <v>9.998314209752257E-2</v>
      </c>
      <c r="Y38" s="39">
        <f t="shared" si="13"/>
        <v>0.18352377848256735</v>
      </c>
      <c r="Z38" s="39">
        <f t="shared" si="13"/>
        <v>-2.9504703464372613E-2</v>
      </c>
      <c r="AA38" s="39">
        <f t="shared" si="13"/>
        <v>3.7980053354428396E-2</v>
      </c>
      <c r="AB38" s="39">
        <f t="shared" si="13"/>
        <v>7.7916587853904179E-2</v>
      </c>
      <c r="AC38" s="39">
        <f t="shared" si="13"/>
        <v>8.6701909267314664E-2</v>
      </c>
      <c r="AD38" s="39">
        <f t="shared" si="13"/>
        <v>8.6286485856044801E-2</v>
      </c>
      <c r="AE38" s="39">
        <f t="shared" si="13"/>
        <v>9.6679916210100747E-2</v>
      </c>
      <c r="AF38" s="39">
        <f t="shared" si="13"/>
        <v>4.3130726819859758E-2</v>
      </c>
      <c r="AG38" s="39">
        <f t="shared" si="13"/>
        <v>4.7301741976169563E-2</v>
      </c>
    </row>
    <row r="39" spans="1:33" x14ac:dyDescent="0.3">
      <c r="A39" s="7" t="s">
        <v>46</v>
      </c>
      <c r="G39" s="39">
        <f t="shared" si="12"/>
        <v>-6.2299518477593907E-2</v>
      </c>
      <c r="H39" s="39">
        <f t="shared" ref="H39:AG39" si="14">(H16-G16)/G16</f>
        <v>0.22908724309742853</v>
      </c>
      <c r="I39" s="39">
        <f t="shared" si="14"/>
        <v>5.4355472242315697E-2</v>
      </c>
      <c r="J39" s="39">
        <f t="shared" si="14"/>
        <v>5.8823529411764705E-2</v>
      </c>
      <c r="K39" s="39">
        <f t="shared" si="14"/>
        <v>-0.22222222222222221</v>
      </c>
      <c r="L39" s="39">
        <f t="shared" si="14"/>
        <v>-0.10714285714285714</v>
      </c>
      <c r="M39" s="39">
        <f t="shared" si="14"/>
        <v>-0.12</v>
      </c>
      <c r="N39" s="39">
        <f t="shared" si="14"/>
        <v>-9.0909090909090912E-2</v>
      </c>
      <c r="O39" s="39">
        <f t="shared" si="14"/>
        <v>-0.17</v>
      </c>
      <c r="P39" s="39">
        <f t="shared" si="14"/>
        <v>-0.15662650602409639</v>
      </c>
      <c r="Q39" s="39">
        <f t="shared" si="14"/>
        <v>-0.15714285714285714</v>
      </c>
      <c r="R39" s="39">
        <f t="shared" si="14"/>
        <v>-0.19127118644067798</v>
      </c>
      <c r="S39" s="39">
        <f t="shared" si="14"/>
        <v>-0.19763177197946138</v>
      </c>
      <c r="T39" s="39">
        <f t="shared" si="14"/>
        <v>-0.19289538983936266</v>
      </c>
      <c r="U39" s="39">
        <f t="shared" si="14"/>
        <v>-0.21650485436893205</v>
      </c>
      <c r="V39" s="39">
        <f t="shared" si="14"/>
        <v>-0.20487401900041305</v>
      </c>
      <c r="W39" s="39">
        <f t="shared" si="14"/>
        <v>-0.19844155844155845</v>
      </c>
      <c r="X39" s="39">
        <f t="shared" si="14"/>
        <v>-0.2287751134154245</v>
      </c>
      <c r="Y39" s="39">
        <f t="shared" si="14"/>
        <v>-0.25966386554621851</v>
      </c>
      <c r="Z39" s="39">
        <f t="shared" si="14"/>
        <v>-0.37514188422247446</v>
      </c>
      <c r="AA39" s="39">
        <f t="shared" si="14"/>
        <v>-0.36058128973660308</v>
      </c>
      <c r="AB39" s="39">
        <f t="shared" si="14"/>
        <v>-0.26420454545454547</v>
      </c>
      <c r="AC39" s="39">
        <f t="shared" si="14"/>
        <v>-0.44208494208494209</v>
      </c>
      <c r="AD39" s="39">
        <f t="shared" si="14"/>
        <v>-0.37024221453287198</v>
      </c>
      <c r="AE39" s="39">
        <f t="shared" si="14"/>
        <v>-0.4175824175824176</v>
      </c>
      <c r="AF39" s="39">
        <f t="shared" si="14"/>
        <v>-0.43396226415094341</v>
      </c>
      <c r="AG39" s="39">
        <f t="shared" si="14"/>
        <v>0.05</v>
      </c>
    </row>
    <row r="40" spans="1:33" x14ac:dyDescent="0.3">
      <c r="A40" s="7" t="s">
        <v>28</v>
      </c>
      <c r="G40" s="39">
        <f t="shared" si="12"/>
        <v>0.14789663892635171</v>
      </c>
      <c r="H40" s="39">
        <f t="shared" ref="H40:AG40" si="15">(H17-G17)/G17</f>
        <v>0.56459235394943119</v>
      </c>
      <c r="I40" s="39">
        <f t="shared" si="15"/>
        <v>0.45222915723528173</v>
      </c>
      <c r="J40" s="39">
        <f t="shared" si="15"/>
        <v>0.21696195178623293</v>
      </c>
      <c r="K40" s="39">
        <f t="shared" si="15"/>
        <v>0.12163882259347653</v>
      </c>
      <c r="L40" s="39">
        <f t="shared" si="15"/>
        <v>1.149017660827009E-2</v>
      </c>
      <c r="M40" s="39">
        <f t="shared" si="15"/>
        <v>7.1453614753523589E-2</v>
      </c>
      <c r="N40" s="39">
        <f t="shared" si="15"/>
        <v>7.81413612565445E-2</v>
      </c>
      <c r="O40" s="39">
        <f t="shared" si="15"/>
        <v>5.6270486827728538E-3</v>
      </c>
      <c r="P40" s="39">
        <f t="shared" si="15"/>
        <v>1.650902110860944E-2</v>
      </c>
      <c r="Q40" s="39">
        <f t="shared" si="15"/>
        <v>3.17573425493759E-2</v>
      </c>
      <c r="R40" s="39">
        <f t="shared" si="15"/>
        <v>1.5054388489208634E-2</v>
      </c>
      <c r="S40" s="39">
        <f t="shared" si="15"/>
        <v>7.4879072291267517E-3</v>
      </c>
      <c r="T40" s="39">
        <f t="shared" si="15"/>
        <v>5.4936927892756622E-2</v>
      </c>
      <c r="U40" s="39">
        <f t="shared" si="15"/>
        <v>2.2522744325955191E-2</v>
      </c>
      <c r="V40" s="39">
        <f t="shared" si="15"/>
        <v>3.5664689602200539E-2</v>
      </c>
      <c r="W40" s="39">
        <f t="shared" si="15"/>
        <v>5.4446342124574568E-2</v>
      </c>
      <c r="X40" s="39">
        <f t="shared" si="15"/>
        <v>4.9174532183625295E-2</v>
      </c>
      <c r="Y40" s="39">
        <f t="shared" si="15"/>
        <v>0.1434327573086239</v>
      </c>
      <c r="Z40" s="39">
        <f t="shared" si="15"/>
        <v>-8.2785468361330508E-2</v>
      </c>
      <c r="AA40" s="39">
        <f t="shared" si="15"/>
        <v>4.5579876553732135E-2</v>
      </c>
      <c r="AB40" s="39">
        <f t="shared" si="15"/>
        <v>5.4163352920149836E-2</v>
      </c>
      <c r="AC40" s="39">
        <f t="shared" si="15"/>
        <v>6.3594116389062427E-2</v>
      </c>
      <c r="AD40" s="39">
        <f t="shared" si="15"/>
        <v>8.2712002183388894E-2</v>
      </c>
      <c r="AE40" s="39">
        <f t="shared" si="15"/>
        <v>3.5566558772081536E-2</v>
      </c>
      <c r="AF40" s="39">
        <f t="shared" si="15"/>
        <v>5.8292768859697253E-2</v>
      </c>
      <c r="AG40" s="39">
        <f t="shared" si="15"/>
        <v>4.663209200723592E-2</v>
      </c>
    </row>
    <row r="41" spans="1:33" x14ac:dyDescent="0.3">
      <c r="A41" s="7" t="s">
        <v>29</v>
      </c>
      <c r="G41" s="39">
        <f t="shared" si="12"/>
        <v>0.30981993280756148</v>
      </c>
      <c r="H41" s="39">
        <f t="shared" ref="H41:AG41" si="16">(H18-G18)/G18</f>
        <v>1.1573586979000807</v>
      </c>
      <c r="I41" s="39">
        <f t="shared" si="16"/>
        <v>0.54860806657800198</v>
      </c>
      <c r="J41" s="39">
        <f t="shared" si="16"/>
        <v>0.36865148861646235</v>
      </c>
      <c r="K41" s="39">
        <f t="shared" si="16"/>
        <v>0.27703134996801021</v>
      </c>
      <c r="L41" s="39">
        <f t="shared" si="16"/>
        <v>0.42835671342685372</v>
      </c>
      <c r="M41" s="39">
        <f t="shared" si="16"/>
        <v>0.19747457032620133</v>
      </c>
      <c r="N41" s="39">
        <f t="shared" si="16"/>
        <v>0.15231400117164617</v>
      </c>
      <c r="O41" s="39">
        <f t="shared" si="16"/>
        <v>0.12717336044738181</v>
      </c>
      <c r="P41" s="39">
        <f t="shared" si="16"/>
        <v>4.1066233678370881E-2</v>
      </c>
      <c r="Q41" s="39">
        <f t="shared" si="16"/>
        <v>8.545619963608006E-2</v>
      </c>
      <c r="R41" s="39">
        <f t="shared" si="16"/>
        <v>6.4688778462950763E-2</v>
      </c>
      <c r="S41" s="39">
        <f t="shared" si="16"/>
        <v>-5.5407176204004874E-4</v>
      </c>
      <c r="T41" s="39">
        <f t="shared" si="16"/>
        <v>1.6340675228282777E-2</v>
      </c>
      <c r="U41" s="39">
        <f t="shared" si="16"/>
        <v>-2.0026856248580287E-3</v>
      </c>
      <c r="V41" s="39">
        <f t="shared" si="16"/>
        <v>-1.4923350288534254E-2</v>
      </c>
      <c r="W41" s="39">
        <f t="shared" si="16"/>
        <v>-2.2642778000619035E-2</v>
      </c>
      <c r="X41" s="39">
        <f t="shared" si="16"/>
        <v>-1.7824954206105366E-2</v>
      </c>
      <c r="Y41" s="39">
        <f t="shared" si="16"/>
        <v>5.3904111504198791E-2</v>
      </c>
      <c r="Z41" s="39">
        <f t="shared" si="16"/>
        <v>-0.1125771073536222</v>
      </c>
      <c r="AA41" s="39">
        <f t="shared" si="16"/>
        <v>-8.5637378191176866E-2</v>
      </c>
      <c r="AB41" s="39">
        <f t="shared" si="16"/>
        <v>-4.8326773746500691E-2</v>
      </c>
      <c r="AC41" s="39">
        <f t="shared" si="16"/>
        <v>-2.5283868394624029E-2</v>
      </c>
      <c r="AD41" s="39">
        <f t="shared" si="16"/>
        <v>-0.10167504538558335</v>
      </c>
      <c r="AE41" s="39">
        <f t="shared" si="16"/>
        <v>-5.8549799021462678E-2</v>
      </c>
      <c r="AF41" s="39">
        <f t="shared" si="16"/>
        <v>-6.4284317374416325E-2</v>
      </c>
      <c r="AG41" s="39">
        <f t="shared" si="16"/>
        <v>-4.8223363693307882E-2</v>
      </c>
    </row>
    <row r="42" spans="1:33" x14ac:dyDescent="0.3">
      <c r="A42" s="7" t="s">
        <v>30</v>
      </c>
      <c r="G42" s="39">
        <f t="shared" si="12"/>
        <v>-5.3989535670188479E-2</v>
      </c>
      <c r="H42" s="39">
        <f t="shared" ref="H42:AG42" si="17">(H19-G19)/G19</f>
        <v>0.35703071909299894</v>
      </c>
      <c r="I42" s="39">
        <f t="shared" si="17"/>
        <v>1.1802864819585428</v>
      </c>
      <c r="J42" s="39">
        <f t="shared" si="17"/>
        <v>0.18935837245696402</v>
      </c>
      <c r="K42" s="39">
        <f t="shared" si="17"/>
        <v>0.20526315789473684</v>
      </c>
      <c r="L42" s="39">
        <f t="shared" si="17"/>
        <v>9.8253275109170299E-2</v>
      </c>
      <c r="M42" s="39">
        <f t="shared" si="17"/>
        <v>0.12524850894632206</v>
      </c>
      <c r="N42" s="39">
        <f t="shared" si="17"/>
        <v>0.14134275618374559</v>
      </c>
      <c r="O42" s="39">
        <f t="shared" si="17"/>
        <v>0.10998452012383901</v>
      </c>
      <c r="P42" s="39">
        <f t="shared" si="17"/>
        <v>0.10626873997629176</v>
      </c>
      <c r="Q42" s="39">
        <f t="shared" si="17"/>
        <v>9.4484714780964388E-2</v>
      </c>
      <c r="R42" s="39">
        <f t="shared" si="17"/>
        <v>8.1209398756046991E-2</v>
      </c>
      <c r="S42" s="39">
        <f t="shared" si="17"/>
        <v>6.1612475045434885E-2</v>
      </c>
      <c r="T42" s="39">
        <f t="shared" si="17"/>
        <v>0.10981423763373746</v>
      </c>
      <c r="U42" s="39">
        <f t="shared" si="17"/>
        <v>8.2618844071279993E-2</v>
      </c>
      <c r="V42" s="39">
        <f t="shared" si="17"/>
        <v>9.1531221838875979E-2</v>
      </c>
      <c r="W42" s="39">
        <f t="shared" si="17"/>
        <v>8.704644262272504E-2</v>
      </c>
      <c r="X42" s="39">
        <f t="shared" si="17"/>
        <v>7.9750913451081887E-2</v>
      </c>
      <c r="Y42" s="39">
        <f t="shared" si="17"/>
        <v>0.1723380621037357</v>
      </c>
      <c r="Z42" s="39">
        <f t="shared" si="17"/>
        <v>-4.1979378141363662E-2</v>
      </c>
      <c r="AA42" s="39">
        <f t="shared" si="17"/>
        <v>1.3647724054030209E-2</v>
      </c>
      <c r="AB42" s="39">
        <f t="shared" si="17"/>
        <v>7.954041496185156E-2</v>
      </c>
      <c r="AC42" s="39">
        <f t="shared" si="17"/>
        <v>9.0481888664522725E-2</v>
      </c>
      <c r="AD42" s="39">
        <f t="shared" si="17"/>
        <v>7.0091042962988181E-2</v>
      </c>
      <c r="AE42" s="39">
        <f t="shared" si="17"/>
        <v>0.12730696284882143</v>
      </c>
      <c r="AF42" s="39">
        <f t="shared" si="17"/>
        <v>2.5465384580491093E-2</v>
      </c>
      <c r="AG42" s="39">
        <f t="shared" si="17"/>
        <v>4.5220671284550325E-2</v>
      </c>
    </row>
    <row r="43" spans="1:33" x14ac:dyDescent="0.3">
      <c r="A43" s="7" t="s">
        <v>26</v>
      </c>
      <c r="G43" s="39">
        <f t="shared" si="12"/>
        <v>0.68740347494138232</v>
      </c>
      <c r="H43" s="39">
        <f t="shared" ref="H43:AG43" si="18">(H20-G20)/G20</f>
        <v>0.90694088773907555</v>
      </c>
      <c r="I43" s="39">
        <f t="shared" si="18"/>
        <v>0.74834959724299521</v>
      </c>
      <c r="J43" s="39">
        <f t="shared" si="18"/>
        <v>0.48647594278283485</v>
      </c>
      <c r="K43" s="39">
        <f t="shared" si="18"/>
        <v>0.23724958446330155</v>
      </c>
      <c r="L43" s="39">
        <f t="shared" si="18"/>
        <v>0.24153291380895142</v>
      </c>
      <c r="M43" s="39">
        <f t="shared" si="18"/>
        <v>0.11766045902386241</v>
      </c>
      <c r="N43" s="39">
        <f t="shared" si="18"/>
        <v>0.13875159235668791</v>
      </c>
      <c r="O43" s="39">
        <f t="shared" si="18"/>
        <v>0.19338643279040629</v>
      </c>
      <c r="P43" s="39">
        <f t="shared" si="18"/>
        <v>0.13767257347261697</v>
      </c>
      <c r="Q43" s="39">
        <f t="shared" si="18"/>
        <v>0.13111085476986964</v>
      </c>
      <c r="R43" s="39">
        <f t="shared" si="18"/>
        <v>0.10980285318010699</v>
      </c>
      <c r="S43" s="39">
        <f t="shared" si="18"/>
        <v>4.0321319134981923E-2</v>
      </c>
      <c r="T43" s="39">
        <f t="shared" si="18"/>
        <v>0.1039088730324047</v>
      </c>
      <c r="U43" s="39">
        <f t="shared" si="18"/>
        <v>8.1548214013454245E-2</v>
      </c>
      <c r="V43" s="39">
        <f t="shared" si="18"/>
        <v>8.9777041552880438E-2</v>
      </c>
      <c r="W43" s="39">
        <f t="shared" si="18"/>
        <v>8.3262591978874048E-2</v>
      </c>
      <c r="X43" s="39">
        <f t="shared" si="18"/>
        <v>8.5299135960577421E-2</v>
      </c>
      <c r="Y43" s="39">
        <f t="shared" si="18"/>
        <v>0.16563938751757751</v>
      </c>
      <c r="Z43" s="39">
        <f t="shared" si="18"/>
        <v>0.21145579190262093</v>
      </c>
      <c r="AA43" s="39">
        <f t="shared" si="18"/>
        <v>-0.15099862960807617</v>
      </c>
      <c r="AB43" s="39">
        <f t="shared" si="18"/>
        <v>5.3814837965147272E-2</v>
      </c>
      <c r="AC43" s="39">
        <f t="shared" si="18"/>
        <v>5.6521507707532934E-2</v>
      </c>
      <c r="AD43" s="39">
        <f t="shared" si="18"/>
        <v>6.0583824428571999E-2</v>
      </c>
      <c r="AE43" s="39">
        <f t="shared" si="18"/>
        <v>5.312423709714359E-2</v>
      </c>
      <c r="AF43" s="39">
        <f t="shared" si="18"/>
        <v>3.2652660313228617E-2</v>
      </c>
      <c r="AG43" s="39">
        <f t="shared" si="18"/>
        <v>4.522118647774892E-2</v>
      </c>
    </row>
    <row r="44" spans="1:33" x14ac:dyDescent="0.3">
      <c r="A44" s="7" t="s">
        <v>31</v>
      </c>
      <c r="G44" s="39">
        <f t="shared" si="12"/>
        <v>-0.18866666666666668</v>
      </c>
      <c r="H44" s="39">
        <f t="shared" ref="H44:AG44" si="19">(H21-G21)/G21</f>
        <v>-0.18500726881992288</v>
      </c>
      <c r="I44" s="39">
        <f t="shared" si="19"/>
        <v>0.27555452148286025</v>
      </c>
      <c r="J44" s="39">
        <f t="shared" si="19"/>
        <v>0.21602723901015383</v>
      </c>
      <c r="K44" s="39">
        <f t="shared" si="19"/>
        <v>1.85</v>
      </c>
      <c r="L44" s="39">
        <f t="shared" si="19"/>
        <v>0.17543859649122806</v>
      </c>
      <c r="M44" s="39">
        <f t="shared" si="19"/>
        <v>0.29850746268656714</v>
      </c>
      <c r="N44" s="39">
        <f t="shared" si="19"/>
        <v>3.4482758620689655E-2</v>
      </c>
      <c r="O44" s="39">
        <f t="shared" si="19"/>
        <v>0.62555555555555553</v>
      </c>
      <c r="P44" s="39">
        <f t="shared" si="19"/>
        <v>0.16267942583732056</v>
      </c>
      <c r="Q44" s="39">
        <f t="shared" si="19"/>
        <v>0.19929453262786595</v>
      </c>
      <c r="R44" s="39">
        <f t="shared" si="19"/>
        <v>0.1665392156862745</v>
      </c>
      <c r="S44" s="39">
        <f t="shared" si="19"/>
        <v>0.15177288275189726</v>
      </c>
      <c r="T44" s="39">
        <f t="shared" si="19"/>
        <v>0.35450505669629173</v>
      </c>
      <c r="U44" s="39">
        <f t="shared" si="19"/>
        <v>0.35507826072903281</v>
      </c>
      <c r="V44" s="39">
        <f t="shared" si="19"/>
        <v>0.29264637188546666</v>
      </c>
      <c r="W44" s="39">
        <f t="shared" si="19"/>
        <v>0.25568843215015585</v>
      </c>
      <c r="X44" s="39">
        <f t="shared" si="19"/>
        <v>0.2175111561766766</v>
      </c>
      <c r="Y44" s="39">
        <f t="shared" si="19"/>
        <v>0.40824980763524626</v>
      </c>
      <c r="Z44" s="39">
        <f t="shared" si="19"/>
        <v>-6.3171698370603588E-2</v>
      </c>
      <c r="AA44" s="39">
        <f t="shared" si="19"/>
        <v>0.1663783514264171</v>
      </c>
      <c r="AB44" s="39">
        <f t="shared" si="19"/>
        <v>0.16265674513946266</v>
      </c>
      <c r="AC44" s="39">
        <f t="shared" si="19"/>
        <v>0.23404073500210265</v>
      </c>
      <c r="AD44" s="39">
        <f t="shared" si="19"/>
        <v>0.10080236609616001</v>
      </c>
      <c r="AE44" s="39">
        <f t="shared" si="19"/>
        <v>0.26882674535544454</v>
      </c>
      <c r="AF44" s="39">
        <f t="shared" si="19"/>
        <v>2.5722251868010859E-2</v>
      </c>
      <c r="AG44" s="39">
        <f t="shared" si="19"/>
        <v>4.5220702339945969E-2</v>
      </c>
    </row>
    <row r="45" spans="1:33" x14ac:dyDescent="0.3">
      <c r="A45" s="7" t="s">
        <v>32</v>
      </c>
      <c r="G45" s="39">
        <f t="shared" si="12"/>
        <v>0.48121890870969447</v>
      </c>
      <c r="H45" s="39">
        <f t="shared" ref="H45:AG45" si="20">(H22-G22)/G22</f>
        <v>0.971465265145811</v>
      </c>
      <c r="I45" s="39">
        <f t="shared" si="20"/>
        <v>1.3127555593528342</v>
      </c>
      <c r="J45" s="39">
        <f t="shared" si="20"/>
        <v>-0.77840909090909094</v>
      </c>
      <c r="K45" s="39">
        <f t="shared" si="20"/>
        <v>1.8693528693528694</v>
      </c>
      <c r="L45" s="39">
        <f t="shared" si="20"/>
        <v>-0.1276595744680851</v>
      </c>
      <c r="M45" s="39">
        <f t="shared" si="20"/>
        <v>1.5853658536585367</v>
      </c>
      <c r="N45" s="39">
        <f t="shared" si="20"/>
        <v>4.8773584905660377</v>
      </c>
      <c r="O45" s="39">
        <f t="shared" si="20"/>
        <v>-0.7343499197431782</v>
      </c>
      <c r="P45" s="39">
        <f t="shared" si="20"/>
        <v>4.9546827794561932E-2</v>
      </c>
      <c r="Q45" s="39">
        <f t="shared" si="20"/>
        <v>6.6781807714450206E-2</v>
      </c>
      <c r="R45" s="39">
        <f t="shared" si="20"/>
        <v>0.291343766864544</v>
      </c>
      <c r="S45" s="39">
        <f t="shared" si="20"/>
        <v>1.2276564445893199</v>
      </c>
      <c r="T45" s="39">
        <f t="shared" si="20"/>
        <v>-0.14527799612416917</v>
      </c>
      <c r="U45" s="39">
        <f t="shared" si="20"/>
        <v>-9.3694785198647074E-2</v>
      </c>
      <c r="V45" s="39">
        <f t="shared" si="20"/>
        <v>0.42205129819649861</v>
      </c>
      <c r="W45" s="39">
        <f t="shared" si="20"/>
        <v>-7.0419896728838263E-2</v>
      </c>
      <c r="X45" s="39">
        <f t="shared" si="20"/>
        <v>-0.23655563331513516</v>
      </c>
      <c r="Y45" s="39">
        <f t="shared" si="20"/>
        <v>-3.4493184872336338E-2</v>
      </c>
      <c r="Z45" s="39">
        <f t="shared" si="20"/>
        <v>48.103542440287711</v>
      </c>
      <c r="AA45" s="39">
        <f t="shared" si="20"/>
        <v>0.64352505881039435</v>
      </c>
      <c r="AB45" s="39">
        <f t="shared" si="20"/>
        <v>-6.4419200326203879E-2</v>
      </c>
      <c r="AC45" s="39">
        <f t="shared" si="20"/>
        <v>0.11073892498665268</v>
      </c>
      <c r="AD45" s="39">
        <f t="shared" si="20"/>
        <v>9.2021786285633775E-2</v>
      </c>
      <c r="AE45" s="39">
        <f t="shared" si="20"/>
        <v>-4.2198565190544206E-2</v>
      </c>
      <c r="AF45" s="39">
        <f t="shared" si="20"/>
        <v>-0.98743950221556509</v>
      </c>
      <c r="AG45" s="39">
        <f t="shared" si="20"/>
        <v>4.522014536496894E-2</v>
      </c>
    </row>
    <row r="47" spans="1:33" x14ac:dyDescent="0.3">
      <c r="A47" s="7" t="s">
        <v>65</v>
      </c>
    </row>
    <row r="48" spans="1:33" ht="28.8" x14ac:dyDescent="0.3">
      <c r="A48" s="7" t="s">
        <v>71</v>
      </c>
      <c r="C48" s="43" t="s">
        <v>66</v>
      </c>
      <c r="D48" s="43" t="s">
        <v>67</v>
      </c>
      <c r="E48" s="43" t="s">
        <v>68</v>
      </c>
      <c r="F48" s="43" t="s">
        <v>69</v>
      </c>
      <c r="G48" s="43" t="s">
        <v>70</v>
      </c>
      <c r="H48" s="43" t="s">
        <v>72</v>
      </c>
    </row>
    <row r="49" spans="1:8" x14ac:dyDescent="0.3">
      <c r="A49" s="40" t="s">
        <v>64</v>
      </c>
      <c r="C49" s="39">
        <f>AVERAGE(G37:J37)</f>
        <v>0.25950606300768447</v>
      </c>
      <c r="D49" s="39">
        <f>AVERAGE(K37:O37)</f>
        <v>0.12044820518052177</v>
      </c>
      <c r="E49" s="39">
        <f>AVERAGE(P37:T37)</f>
        <v>8.6619659856963779E-2</v>
      </c>
      <c r="F49" s="39">
        <f>AVERAGE(U37:Y37)</f>
        <v>9.6888634288116032E-2</v>
      </c>
      <c r="G49" s="39">
        <f>AVERAGE(Z37:AD37)</f>
        <v>7.3189794086027493E-2</v>
      </c>
      <c r="H49" s="39">
        <f>AVERAGE(AE37:AG37)</f>
        <v>4.7449465105497178E-3</v>
      </c>
    </row>
    <row r="50" spans="1:8" x14ac:dyDescent="0.3">
      <c r="A50" s="7" t="s">
        <v>45</v>
      </c>
      <c r="C50" s="39">
        <f>AVERAGE(G38:J38)</f>
        <v>0.11187928399721311</v>
      </c>
      <c r="D50" s="39">
        <f>AVERAGE(K38:O38)</f>
        <v>0.10079741865113571</v>
      </c>
      <c r="E50" s="39">
        <f>AVERAGE(P38:T38)</f>
        <v>0.10469782391975975</v>
      </c>
      <c r="F50" s="39">
        <f>AVERAGE(U38:Y38)</f>
        <v>0.11282247710707063</v>
      </c>
      <c r="G50" s="39">
        <f>AVERAGE(Z38:AD38)</f>
        <v>5.1876066573463886E-2</v>
      </c>
      <c r="H50" s="39">
        <f t="shared" ref="H50:H57" si="21">AVERAGE(AE38:AG38)</f>
        <v>6.2370795002043351E-2</v>
      </c>
    </row>
    <row r="51" spans="1:8" x14ac:dyDescent="0.3">
      <c r="A51" s="7" t="s">
        <v>46</v>
      </c>
      <c r="C51" s="39">
        <f>AVERAGE(G39:J39)</f>
        <v>6.9991681568478764E-2</v>
      </c>
      <c r="D51" s="39">
        <f t="shared" ref="D51:D57" si="22">AVERAGE(K39:O39)</f>
        <v>-0.14205483405483404</v>
      </c>
      <c r="E51" s="39">
        <f t="shared" ref="E51:E57" si="23">AVERAGE(P39:T39)</f>
        <v>-0.17911354228529111</v>
      </c>
      <c r="F51" s="39">
        <f t="shared" ref="F51:F56" si="24">AVERAGE(U39:Y39)</f>
        <v>-0.22165188215450932</v>
      </c>
      <c r="G51" s="39">
        <f t="shared" ref="G51:G57" si="25">AVERAGE(Z39:AD39)</f>
        <v>-0.36245097520628738</v>
      </c>
      <c r="H51" s="39">
        <f t="shared" si="21"/>
        <v>-0.26718156057778697</v>
      </c>
    </row>
    <row r="52" spans="1:8" x14ac:dyDescent="0.3">
      <c r="A52" s="7" t="s">
        <v>28</v>
      </c>
      <c r="C52" s="39">
        <f t="shared" ref="C52:C57" si="26">AVERAGE(G40:J40)</f>
        <v>0.34542002547432438</v>
      </c>
      <c r="D52" s="39">
        <f t="shared" si="22"/>
        <v>5.767020477891751E-2</v>
      </c>
      <c r="E52" s="39">
        <f t="shared" si="23"/>
        <v>2.5149117453815466E-2</v>
      </c>
      <c r="F52" s="39">
        <f t="shared" si="24"/>
        <v>6.10482131089959E-2</v>
      </c>
      <c r="G52" s="39">
        <f t="shared" si="25"/>
        <v>3.2652775937000555E-2</v>
      </c>
      <c r="H52" s="39">
        <f t="shared" si="21"/>
        <v>4.6830473213004903E-2</v>
      </c>
    </row>
    <row r="53" spans="1:8" x14ac:dyDescent="0.3">
      <c r="A53" s="7" t="s">
        <v>29</v>
      </c>
      <c r="C53" s="39">
        <f t="shared" si="26"/>
        <v>0.59610954647552661</v>
      </c>
      <c r="D53" s="39">
        <f t="shared" si="22"/>
        <v>0.23646999906801866</v>
      </c>
      <c r="E53" s="39">
        <f t="shared" si="23"/>
        <v>4.1399563048728889E-2</v>
      </c>
      <c r="F53" s="39">
        <f t="shared" si="24"/>
        <v>-6.979313231835788E-4</v>
      </c>
      <c r="G53" s="39">
        <f t="shared" si="25"/>
        <v>-7.4700034614301428E-2</v>
      </c>
      <c r="H53" s="39">
        <f t="shared" si="21"/>
        <v>-5.7019160029728962E-2</v>
      </c>
    </row>
    <row r="54" spans="1:8" x14ac:dyDescent="0.3">
      <c r="A54" s="7" t="s">
        <v>30</v>
      </c>
      <c r="C54" s="39">
        <f t="shared" si="26"/>
        <v>0.41817150945957932</v>
      </c>
      <c r="D54" s="39">
        <f t="shared" si="22"/>
        <v>0.13601844365156274</v>
      </c>
      <c r="E54" s="39">
        <f t="shared" si="23"/>
        <v>9.0677913238495098E-2</v>
      </c>
      <c r="F54" s="39">
        <f t="shared" si="24"/>
        <v>0.10265709681753972</v>
      </c>
      <c r="G54" s="39">
        <f t="shared" si="25"/>
        <v>4.2356338500405807E-2</v>
      </c>
      <c r="H54" s="39">
        <f t="shared" si="21"/>
        <v>6.5997672904620941E-2</v>
      </c>
    </row>
    <row r="55" spans="1:8" x14ac:dyDescent="0.3">
      <c r="A55" s="7" t="s">
        <v>26</v>
      </c>
      <c r="C55" s="39">
        <f t="shared" si="26"/>
        <v>0.70729247567657205</v>
      </c>
      <c r="D55" s="39">
        <f t="shared" si="22"/>
        <v>0.18571619648864193</v>
      </c>
      <c r="E55" s="39">
        <f t="shared" si="23"/>
        <v>0.10456329471799604</v>
      </c>
      <c r="F55" s="39">
        <f t="shared" si="24"/>
        <v>0.10110527420467275</v>
      </c>
      <c r="G55" s="39">
        <f t="shared" si="25"/>
        <v>4.6275466479159394E-2</v>
      </c>
      <c r="H55" s="39">
        <f t="shared" si="21"/>
        <v>4.3666027962707042E-2</v>
      </c>
    </row>
    <row r="56" spans="1:8" x14ac:dyDescent="0.3">
      <c r="A56" s="7" t="s">
        <v>31</v>
      </c>
      <c r="C56" s="39">
        <f t="shared" si="26"/>
        <v>2.947695625160613E-2</v>
      </c>
      <c r="D56" s="39">
        <f t="shared" si="22"/>
        <v>0.59679687467080811</v>
      </c>
      <c r="E56" s="39">
        <f t="shared" si="23"/>
        <v>0.20695822271992997</v>
      </c>
      <c r="F56" s="39">
        <f t="shared" si="24"/>
        <v>0.30583480571531563</v>
      </c>
      <c r="G56" s="39">
        <f t="shared" si="25"/>
        <v>0.12014129985870776</v>
      </c>
      <c r="H56" s="39">
        <f t="shared" si="21"/>
        <v>0.11325656652113379</v>
      </c>
    </row>
    <row r="57" spans="1:8" x14ac:dyDescent="0.3">
      <c r="A57" s="7" t="s">
        <v>32</v>
      </c>
      <c r="C57" s="39">
        <f t="shared" si="26"/>
        <v>0.49675766057481219</v>
      </c>
      <c r="D57" s="39">
        <f t="shared" si="22"/>
        <v>1.494013543873236</v>
      </c>
      <c r="E57" s="39">
        <f t="shared" si="23"/>
        <v>0.29801017016774134</v>
      </c>
      <c r="F57" s="39">
        <f>AVERAGE(U45:Y45)</f>
        <v>-2.6224403836916459E-3</v>
      </c>
      <c r="G57" s="39">
        <f t="shared" si="25"/>
        <v>9.7770818020088388</v>
      </c>
      <c r="H57" s="39">
        <f t="shared" si="21"/>
        <v>-0.32813930734704672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7"/>
  <sheetViews>
    <sheetView topLeftCell="A16" workbookViewId="0">
      <selection activeCell="F41" sqref="F41"/>
    </sheetView>
  </sheetViews>
  <sheetFormatPr defaultRowHeight="14.4" x14ac:dyDescent="0.3"/>
  <cols>
    <col min="5" max="5" width="6" customWidth="1"/>
    <col min="6" max="6" width="15.77734375" customWidth="1"/>
    <col min="7" max="7" width="24.21875" customWidth="1"/>
    <col min="8" max="9" width="15.77734375" customWidth="1"/>
    <col min="10" max="10" width="21.88671875" customWidth="1"/>
    <col min="11" max="11" width="15.77734375" customWidth="1"/>
  </cols>
  <sheetData>
    <row r="1" spans="1:36" ht="15" thickBot="1" x14ac:dyDescent="0.35"/>
    <row r="2" spans="1:36" s="11" customFormat="1" ht="15" thickBot="1" x14ac:dyDescent="0.35">
      <c r="A2" s="36" t="s">
        <v>92</v>
      </c>
      <c r="B2" s="37"/>
      <c r="C2" s="37"/>
      <c r="D2" s="37"/>
      <c r="E2" s="37"/>
      <c r="F2" s="38" t="s">
        <v>44</v>
      </c>
      <c r="G2" s="11" t="s">
        <v>43</v>
      </c>
      <c r="H2" s="11" t="s">
        <v>42</v>
      </c>
      <c r="I2" s="11" t="s">
        <v>41</v>
      </c>
      <c r="J2" s="11" t="s">
        <v>40</v>
      </c>
      <c r="K2" s="11" t="s">
        <v>39</v>
      </c>
      <c r="L2" s="11" t="s">
        <v>38</v>
      </c>
      <c r="M2" s="11" t="s">
        <v>37</v>
      </c>
      <c r="N2" s="11" t="s">
        <v>36</v>
      </c>
      <c r="O2" s="11" t="s">
        <v>35</v>
      </c>
      <c r="P2" s="11" t="s">
        <v>34</v>
      </c>
      <c r="Q2" s="11" t="s">
        <v>33</v>
      </c>
      <c r="R2" s="37" t="s">
        <v>4</v>
      </c>
      <c r="S2" s="37" t="s">
        <v>5</v>
      </c>
      <c r="T2" s="37" t="s">
        <v>6</v>
      </c>
      <c r="U2" s="37" t="s">
        <v>7</v>
      </c>
      <c r="V2" s="37" t="s">
        <v>8</v>
      </c>
      <c r="W2" s="37" t="s">
        <v>9</v>
      </c>
      <c r="X2" s="37" t="s">
        <v>10</v>
      </c>
      <c r="Y2" s="37" t="s">
        <v>11</v>
      </c>
      <c r="Z2" s="37" t="s">
        <v>12</v>
      </c>
      <c r="AA2" s="37" t="s">
        <v>13</v>
      </c>
      <c r="AB2" s="37" t="s">
        <v>14</v>
      </c>
      <c r="AC2" s="37" t="s">
        <v>15</v>
      </c>
      <c r="AD2" s="37" t="s">
        <v>16</v>
      </c>
      <c r="AE2" s="37" t="s">
        <v>17</v>
      </c>
      <c r="AF2" s="37"/>
      <c r="AG2" s="38"/>
      <c r="AH2" s="38"/>
      <c r="AI2" s="38"/>
      <c r="AJ2" s="38"/>
    </row>
    <row r="3" spans="1:36" x14ac:dyDescent="0.3">
      <c r="A3" s="7" t="s">
        <v>62</v>
      </c>
      <c r="F3" s="39">
        <v>1.658140533597454E-2</v>
      </c>
      <c r="G3" s="39">
        <v>1.704529821127837E-2</v>
      </c>
      <c r="H3" s="39">
        <v>2.021866471374802E-2</v>
      </c>
      <c r="I3" s="39">
        <v>2.4312311404374599E-2</v>
      </c>
      <c r="J3" s="39">
        <v>2.6548086218467024E-2</v>
      </c>
      <c r="K3" s="39">
        <v>2.6946163354851164E-2</v>
      </c>
      <c r="L3" s="39">
        <v>2.6706000796047857E-2</v>
      </c>
      <c r="M3" s="39">
        <v>2.5927867507920477E-2</v>
      </c>
      <c r="N3" s="39">
        <v>2.6603018557594605E-2</v>
      </c>
      <c r="O3" s="39">
        <v>2.7878611157325515E-2</v>
      </c>
      <c r="P3" s="39">
        <v>2.8012676189817554E-2</v>
      </c>
      <c r="Q3" s="39">
        <v>2.829796984042638E-2</v>
      </c>
      <c r="R3" s="39">
        <v>2.859353602770549E-2</v>
      </c>
      <c r="S3" s="39">
        <v>2.777853306533988E-2</v>
      </c>
      <c r="T3" s="39">
        <v>2.8565141483371623E-2</v>
      </c>
      <c r="U3" s="39">
        <v>2.8525412132794716E-2</v>
      </c>
      <c r="V3" s="39">
        <v>2.8753851889002341E-2</v>
      </c>
      <c r="W3" s="39">
        <v>2.9254832819815009E-2</v>
      </c>
      <c r="X3" s="39">
        <v>2.9990186963775815E-2</v>
      </c>
      <c r="Y3" s="39">
        <v>3.3286526652750052E-2</v>
      </c>
      <c r="Z3" s="39">
        <v>3.8983624937803045E-2</v>
      </c>
      <c r="AA3" s="39">
        <v>3.520903141050874E-2</v>
      </c>
      <c r="AB3" s="39">
        <v>3.4406838900112605E-2</v>
      </c>
      <c r="AC3" s="39">
        <v>3.5323832867641743E-2</v>
      </c>
      <c r="AD3" s="39">
        <v>3.636689898227026E-2</v>
      </c>
      <c r="AE3" s="39">
        <v>3.6171909681171246E-2</v>
      </c>
      <c r="AF3" s="39"/>
      <c r="AG3" s="39"/>
    </row>
    <row r="4" spans="1:36" x14ac:dyDescent="0.3">
      <c r="A4" s="7" t="s">
        <v>45</v>
      </c>
      <c r="F4" s="39">
        <v>1.117990092608725E-2</v>
      </c>
      <c r="G4" s="39">
        <v>1.0844845154012626E-2</v>
      </c>
      <c r="H4" s="39">
        <v>1.1211411041601222E-2</v>
      </c>
      <c r="I4" s="39">
        <v>1.124507052599201E-2</v>
      </c>
      <c r="J4" s="39">
        <v>1.0940793538640737E-2</v>
      </c>
      <c r="K4" s="39">
        <v>1.0355179419246623E-2</v>
      </c>
      <c r="L4" s="39">
        <v>9.9374868300906097E-3</v>
      </c>
      <c r="M4" s="39">
        <v>9.4638978508347574E-3</v>
      </c>
      <c r="N4" s="39">
        <v>9.7563838403826406E-3</v>
      </c>
      <c r="O4" s="39">
        <v>1.0491064283902837E-2</v>
      </c>
      <c r="P4" s="39">
        <v>1.0805945950099509E-2</v>
      </c>
      <c r="Q4" s="39">
        <v>1.0946100481191993E-2</v>
      </c>
      <c r="R4" s="39">
        <v>1.1138949342368882E-2</v>
      </c>
      <c r="S4" s="39">
        <v>1.1168594833944598E-2</v>
      </c>
      <c r="T4" s="39">
        <v>1.1675260864690302E-2</v>
      </c>
      <c r="U4" s="39">
        <v>1.1810512714846294E-2</v>
      </c>
      <c r="V4" s="39">
        <v>1.2072981438776817E-2</v>
      </c>
      <c r="W4" s="39">
        <v>1.2480550590766634E-2</v>
      </c>
      <c r="X4" s="39">
        <v>1.3002106374492299E-2</v>
      </c>
      <c r="Y4" s="39">
        <v>1.4623350700495792E-2</v>
      </c>
      <c r="Z4" s="39">
        <v>1.4426615710696195E-2</v>
      </c>
      <c r="AA4" s="39">
        <v>1.3295563575887783E-2</v>
      </c>
      <c r="AB4" s="39">
        <v>1.3403686961222192E-2</v>
      </c>
      <c r="AC4" s="39">
        <v>1.3890411584701704E-2</v>
      </c>
      <c r="AD4" s="39">
        <v>1.4448160615039157E-2</v>
      </c>
      <c r="AE4" s="39">
        <v>1.4908498140979658E-2</v>
      </c>
      <c r="AF4" s="39"/>
      <c r="AG4" s="39"/>
    </row>
    <row r="5" spans="1:36" x14ac:dyDescent="0.3">
      <c r="A5" s="7" t="s">
        <v>28</v>
      </c>
      <c r="F5" s="39">
        <v>3.6411515724208846E-3</v>
      </c>
      <c r="G5" s="39">
        <v>3.7740741640310701E-3</v>
      </c>
      <c r="H5" s="39">
        <v>5.0769799676409688E-3</v>
      </c>
      <c r="I5" s="39">
        <v>6.774194183073106E-3</v>
      </c>
      <c r="J5" s="39">
        <v>7.4322186976174924E-3</v>
      </c>
      <c r="K5" s="39">
        <v>7.4767078727893755E-3</v>
      </c>
      <c r="L5" s="39">
        <v>6.6779049893470064E-3</v>
      </c>
      <c r="M5" s="39">
        <v>6.3421937266240564E-3</v>
      </c>
      <c r="N5" s="39">
        <v>6.1975270836146998E-3</v>
      </c>
      <c r="O5" s="39">
        <v>5.8271301488658752E-3</v>
      </c>
      <c r="P5" s="39">
        <v>5.3917349910480332E-3</v>
      </c>
      <c r="Q5" s="39">
        <v>5.123612496247599E-3</v>
      </c>
      <c r="R5" s="39">
        <v>4.8536814793287628E-3</v>
      </c>
      <c r="S5" s="39">
        <v>4.5036665762653435E-3</v>
      </c>
      <c r="T5" s="39">
        <v>4.4622567780303523E-3</v>
      </c>
      <c r="U5" s="39">
        <v>4.2603546100236636E-3</v>
      </c>
      <c r="V5" s="39">
        <v>4.1088236651714554E-3</v>
      </c>
      <c r="W5" s="39">
        <v>4.0735073976219871E-3</v>
      </c>
      <c r="X5" s="39">
        <v>4.0477174553344656E-3</v>
      </c>
      <c r="Y5" s="39">
        <v>4.3982206394474086E-3</v>
      </c>
      <c r="Z5" s="39">
        <v>4.1008328893915478E-3</v>
      </c>
      <c r="AA5" s="39">
        <v>3.8069972919522132E-3</v>
      </c>
      <c r="AB5" s="39">
        <v>3.7533827380558105E-3</v>
      </c>
      <c r="AC5" s="39">
        <v>3.8069676504962624E-3</v>
      </c>
      <c r="AD5" s="39">
        <v>3.9468007978530227E-3</v>
      </c>
      <c r="AE5" s="39">
        <v>3.8456049593523097E-3</v>
      </c>
      <c r="AF5" s="39"/>
      <c r="AG5" s="39"/>
    </row>
    <row r="6" spans="1:36" x14ac:dyDescent="0.3">
      <c r="A6" s="7" t="s">
        <v>32</v>
      </c>
      <c r="F6" s="39">
        <v>1.0063370629703384E-5</v>
      </c>
      <c r="G6" s="39">
        <v>1.3459582949726527E-5</v>
      </c>
      <c r="H6" s="39">
        <v>2.2814688793329568E-5</v>
      </c>
      <c r="I6" s="39">
        <v>4.8479856134452897E-5</v>
      </c>
      <c r="J6" s="39">
        <v>9.6849436966566847E-6</v>
      </c>
      <c r="K6" s="39">
        <v>2.4924127244563492E-5</v>
      </c>
      <c r="L6" s="39">
        <v>1.9198801245580763E-5</v>
      </c>
      <c r="M6" s="39">
        <v>4.3996893653282061E-5</v>
      </c>
      <c r="N6" s="39">
        <v>2.3437291326283588E-4</v>
      </c>
      <c r="O6" s="39">
        <v>5.8212561321041749E-5</v>
      </c>
      <c r="P6" s="39">
        <v>5.5613613136723045E-5</v>
      </c>
      <c r="Q6" s="39">
        <v>5.4642037154226191E-5</v>
      </c>
      <c r="R6" s="39">
        <v>6.5852828892617012E-5</v>
      </c>
      <c r="S6" s="39">
        <v>1.3510697349044577E-4</v>
      </c>
      <c r="T6" s="39">
        <v>1.0845872192548886E-4</v>
      </c>
      <c r="U6" s="39">
        <v>9.1781927816357456E-5</v>
      </c>
      <c r="V6" s="39">
        <v>1.2154162081022917E-4</v>
      </c>
      <c r="W6" s="39">
        <v>1.0622784333202034E-4</v>
      </c>
      <c r="X6" s="39">
        <v>7.6808573541370688E-5</v>
      </c>
      <c r="Y6" s="39">
        <v>7.0472752775237068E-5</v>
      </c>
      <c r="Z6" s="39">
        <v>3.5176950957988389E-3</v>
      </c>
      <c r="AA6" s="39">
        <v>5.1331954805796769E-3</v>
      </c>
      <c r="AB6" s="39">
        <v>4.4916041443900873E-3</v>
      </c>
      <c r="AC6" s="39">
        <v>4.7576651586032723E-3</v>
      </c>
      <c r="AD6" s="39">
        <v>4.9748300161012509E-3</v>
      </c>
      <c r="AE6" s="39">
        <v>4.4832728818797697E-3</v>
      </c>
      <c r="AF6" s="39"/>
      <c r="AG6" s="39"/>
    </row>
    <row r="7" spans="1:36" x14ac:dyDescent="0.3">
      <c r="A7" s="7" t="s">
        <v>26</v>
      </c>
      <c r="F7" s="39">
        <v>1.2567865158381467E-3</v>
      </c>
      <c r="G7" s="39">
        <v>1.9149142879128251E-3</v>
      </c>
      <c r="H7" s="39">
        <v>3.1396438528276563E-3</v>
      </c>
      <c r="I7" s="39">
        <v>5.0434265919093993E-3</v>
      </c>
      <c r="J7" s="39">
        <v>6.7587662635215234E-3</v>
      </c>
      <c r="K7" s="39">
        <v>7.500041098294925E-3</v>
      </c>
      <c r="L7" s="39">
        <v>8.2222378310037227E-3</v>
      </c>
      <c r="M7" s="39">
        <v>8.1456513013741551E-3</v>
      </c>
      <c r="N7" s="39">
        <v>8.4073288372357238E-3</v>
      </c>
      <c r="O7" s="39">
        <v>9.3807695946822919E-3</v>
      </c>
      <c r="P7" s="39">
        <v>9.7144527518012794E-3</v>
      </c>
      <c r="Q7" s="39">
        <v>1.012030684467448E-2</v>
      </c>
      <c r="R7" s="39">
        <v>1.0482025226439104E-2</v>
      </c>
      <c r="S7" s="39">
        <v>1.0043100647087598E-2</v>
      </c>
      <c r="T7" s="39">
        <v>1.0412688380454782E-2</v>
      </c>
      <c r="U7" s="39">
        <v>1.0515428390051465E-2</v>
      </c>
      <c r="V7" s="39">
        <v>1.067129705429354E-2</v>
      </c>
      <c r="W7" s="39">
        <v>1.0868696880434563E-2</v>
      </c>
      <c r="X7" s="39">
        <v>1.1171741404746088E-2</v>
      </c>
      <c r="Y7" s="39">
        <v>1.2374888119999117E-2</v>
      </c>
      <c r="Z7" s="39">
        <v>1.5239579534900946E-2</v>
      </c>
      <c r="AA7" s="39">
        <v>1.1487741538733937E-2</v>
      </c>
      <c r="AB7" s="39">
        <v>1.1322213377302964E-2</v>
      </c>
      <c r="AC7" s="39">
        <v>1.1407489708232244E-2</v>
      </c>
      <c r="AD7" s="39">
        <v>1.1584789704920211E-2</v>
      </c>
      <c r="AE7" s="39">
        <v>1.1479136150358791E-2</v>
      </c>
      <c r="AF7" s="39"/>
      <c r="AG7" s="39"/>
    </row>
    <row r="11" spans="1:36" ht="70.2" customHeight="1" thickBot="1" x14ac:dyDescent="0.35">
      <c r="F11" s="46" t="s">
        <v>93</v>
      </c>
      <c r="G11" s="46" t="s">
        <v>61</v>
      </c>
      <c r="H11" s="46" t="s">
        <v>94</v>
      </c>
      <c r="I11" s="46" t="s">
        <v>28</v>
      </c>
      <c r="J11" s="46" t="s">
        <v>95</v>
      </c>
      <c r="K11" s="46" t="s">
        <v>96</v>
      </c>
    </row>
    <row r="12" spans="1:36" ht="15" thickBot="1" x14ac:dyDescent="0.35">
      <c r="F12" s="38" t="s">
        <v>44</v>
      </c>
      <c r="G12" s="39">
        <v>1.658140533597454E-2</v>
      </c>
      <c r="H12" s="39">
        <v>1.117990092608725E-2</v>
      </c>
      <c r="I12" s="39">
        <v>3.6411515724208846E-3</v>
      </c>
      <c r="J12" s="39">
        <v>1.0063370629703384E-5</v>
      </c>
      <c r="K12" s="39">
        <v>1.2567865158381467E-3</v>
      </c>
    </row>
    <row r="13" spans="1:36" x14ac:dyDescent="0.3">
      <c r="F13" s="11" t="s">
        <v>43</v>
      </c>
      <c r="G13" s="39">
        <v>1.704529821127837E-2</v>
      </c>
      <c r="H13" s="39">
        <v>1.0844845154012626E-2</v>
      </c>
      <c r="I13" s="39">
        <v>3.7740741640310701E-3</v>
      </c>
      <c r="J13" s="39">
        <v>1.3459582949726527E-5</v>
      </c>
      <c r="K13" s="39">
        <v>1.9149142879128251E-3</v>
      </c>
    </row>
    <row r="14" spans="1:36" x14ac:dyDescent="0.3">
      <c r="F14" s="11" t="s">
        <v>42</v>
      </c>
      <c r="G14" s="39">
        <v>2.021866471374802E-2</v>
      </c>
      <c r="H14" s="39">
        <v>1.1211411041601222E-2</v>
      </c>
      <c r="I14" s="39">
        <v>5.0769799676409688E-3</v>
      </c>
      <c r="J14" s="39">
        <v>2.2814688793329568E-5</v>
      </c>
      <c r="K14" s="39">
        <v>3.1396438528276563E-3</v>
      </c>
    </row>
    <row r="15" spans="1:36" x14ac:dyDescent="0.3">
      <c r="F15" s="11" t="s">
        <v>41</v>
      </c>
      <c r="G15" s="39">
        <v>2.4312311404374599E-2</v>
      </c>
      <c r="H15" s="39">
        <v>1.124507052599201E-2</v>
      </c>
      <c r="I15" s="39">
        <v>6.774194183073106E-3</v>
      </c>
      <c r="J15" s="39">
        <v>4.8479856134452897E-5</v>
      </c>
      <c r="K15" s="39">
        <v>5.0434265919093993E-3</v>
      </c>
    </row>
    <row r="16" spans="1:36" x14ac:dyDescent="0.3">
      <c r="F16" s="11" t="s">
        <v>40</v>
      </c>
      <c r="G16" s="39">
        <v>2.6548086218467024E-2</v>
      </c>
      <c r="H16" s="39">
        <v>1.0940793538640737E-2</v>
      </c>
      <c r="I16" s="39">
        <v>7.4322186976174924E-3</v>
      </c>
      <c r="J16" s="39">
        <v>9.6849436966566847E-6</v>
      </c>
      <c r="K16" s="39">
        <v>6.7587662635215234E-3</v>
      </c>
    </row>
    <row r="17" spans="6:11" x14ac:dyDescent="0.3">
      <c r="F17" s="11" t="s">
        <v>39</v>
      </c>
      <c r="G17" s="39">
        <v>2.6946163354851164E-2</v>
      </c>
      <c r="H17" s="39">
        <v>1.0355179419246623E-2</v>
      </c>
      <c r="I17" s="39">
        <v>7.4767078727893755E-3</v>
      </c>
      <c r="J17" s="39">
        <v>2.4924127244563492E-5</v>
      </c>
      <c r="K17" s="39">
        <v>7.500041098294925E-3</v>
      </c>
    </row>
    <row r="18" spans="6:11" x14ac:dyDescent="0.3">
      <c r="F18" s="11" t="s">
        <v>38</v>
      </c>
      <c r="G18" s="39">
        <v>2.6706000796047857E-2</v>
      </c>
      <c r="H18" s="39">
        <v>9.9374868300906097E-3</v>
      </c>
      <c r="I18" s="39">
        <v>6.6779049893470064E-3</v>
      </c>
      <c r="J18" s="39">
        <v>1.9198801245580763E-5</v>
      </c>
      <c r="K18" s="39">
        <v>8.2222378310037227E-3</v>
      </c>
    </row>
    <row r="19" spans="6:11" x14ac:dyDescent="0.3">
      <c r="F19" s="11" t="s">
        <v>37</v>
      </c>
      <c r="G19" s="39">
        <v>2.5927867507920477E-2</v>
      </c>
      <c r="H19" s="39">
        <v>9.4638978508347574E-3</v>
      </c>
      <c r="I19" s="39">
        <v>6.3421937266240564E-3</v>
      </c>
      <c r="J19" s="39">
        <v>4.3996893653282061E-5</v>
      </c>
      <c r="K19" s="39">
        <v>8.1456513013741551E-3</v>
      </c>
    </row>
    <row r="20" spans="6:11" x14ac:dyDescent="0.3">
      <c r="F20" s="11" t="s">
        <v>36</v>
      </c>
      <c r="G20" s="39">
        <v>2.6603018557594605E-2</v>
      </c>
      <c r="H20" s="39">
        <v>9.7563838403826406E-3</v>
      </c>
      <c r="I20" s="39">
        <v>6.1975270836146998E-3</v>
      </c>
      <c r="J20" s="39">
        <v>2.3437291326283588E-4</v>
      </c>
      <c r="K20" s="39">
        <v>8.4073288372357238E-3</v>
      </c>
    </row>
    <row r="21" spans="6:11" x14ac:dyDescent="0.3">
      <c r="F21" s="11" t="s">
        <v>35</v>
      </c>
      <c r="G21" s="39">
        <v>2.7878611157325515E-2</v>
      </c>
      <c r="H21" s="39">
        <v>1.0491064283902837E-2</v>
      </c>
      <c r="I21" s="39">
        <v>5.8271301488658752E-3</v>
      </c>
      <c r="J21" s="39">
        <v>5.8212561321041749E-5</v>
      </c>
      <c r="K21" s="39">
        <v>9.3807695946822919E-3</v>
      </c>
    </row>
    <row r="22" spans="6:11" x14ac:dyDescent="0.3">
      <c r="F22" s="11" t="s">
        <v>34</v>
      </c>
      <c r="G22" s="39">
        <v>2.8012676189817554E-2</v>
      </c>
      <c r="H22" s="39">
        <v>1.0805945950099509E-2</v>
      </c>
      <c r="I22" s="39">
        <v>5.3917349910480332E-3</v>
      </c>
      <c r="J22" s="39">
        <v>5.5613613136723045E-5</v>
      </c>
      <c r="K22" s="39">
        <v>9.7144527518012794E-3</v>
      </c>
    </row>
    <row r="23" spans="6:11" ht="15" thickBot="1" x14ac:dyDescent="0.35">
      <c r="F23" s="11" t="s">
        <v>33</v>
      </c>
      <c r="G23" s="39">
        <v>2.829796984042638E-2</v>
      </c>
      <c r="H23" s="39">
        <v>1.0946100481191993E-2</v>
      </c>
      <c r="I23" s="39">
        <v>5.123612496247599E-3</v>
      </c>
      <c r="J23" s="39">
        <v>5.4642037154226191E-5</v>
      </c>
      <c r="K23" s="39">
        <v>1.012030684467448E-2</v>
      </c>
    </row>
    <row r="24" spans="6:11" ht="15" thickBot="1" x14ac:dyDescent="0.35">
      <c r="F24" s="37" t="s">
        <v>4</v>
      </c>
      <c r="G24" s="39">
        <v>2.859353602770549E-2</v>
      </c>
      <c r="H24" s="39">
        <v>1.1138949342368882E-2</v>
      </c>
      <c r="I24" s="39">
        <v>4.8536814793287628E-3</v>
      </c>
      <c r="J24" s="39">
        <v>6.5852828892617012E-5</v>
      </c>
      <c r="K24" s="39">
        <v>1.0482025226439104E-2</v>
      </c>
    </row>
    <row r="25" spans="6:11" ht="15" thickBot="1" x14ac:dyDescent="0.35">
      <c r="F25" s="37" t="s">
        <v>5</v>
      </c>
      <c r="G25" s="39">
        <v>2.777853306533988E-2</v>
      </c>
      <c r="H25" s="39">
        <v>1.1168594833944598E-2</v>
      </c>
      <c r="I25" s="39">
        <v>4.5036665762653435E-3</v>
      </c>
      <c r="J25" s="39">
        <v>1.3510697349044577E-4</v>
      </c>
      <c r="K25" s="39">
        <v>1.0043100647087598E-2</v>
      </c>
    </row>
    <row r="26" spans="6:11" ht="15" thickBot="1" x14ac:dyDescent="0.35">
      <c r="F26" s="37" t="s">
        <v>6</v>
      </c>
      <c r="G26" s="39">
        <v>2.8565141483371623E-2</v>
      </c>
      <c r="H26" s="39">
        <v>1.1675260864690302E-2</v>
      </c>
      <c r="I26" s="39">
        <v>4.4622567780303523E-3</v>
      </c>
      <c r="J26" s="39">
        <v>1.0845872192548886E-4</v>
      </c>
      <c r="K26" s="39">
        <v>1.0412688380454782E-2</v>
      </c>
    </row>
    <row r="27" spans="6:11" ht="15" thickBot="1" x14ac:dyDescent="0.35">
      <c r="F27" s="37" t="s">
        <v>7</v>
      </c>
      <c r="G27" s="39">
        <v>2.8525412132794716E-2</v>
      </c>
      <c r="H27" s="39">
        <v>1.1810512714846294E-2</v>
      </c>
      <c r="I27" s="39">
        <v>4.2603546100236636E-3</v>
      </c>
      <c r="J27" s="39">
        <v>9.1781927816357456E-5</v>
      </c>
      <c r="K27" s="39">
        <v>1.0515428390051465E-2</v>
      </c>
    </row>
    <row r="28" spans="6:11" ht="15" thickBot="1" x14ac:dyDescent="0.35">
      <c r="F28" s="37" t="s">
        <v>8</v>
      </c>
      <c r="G28" s="39">
        <v>2.8753851889002341E-2</v>
      </c>
      <c r="H28" s="39">
        <v>1.2072981438776817E-2</v>
      </c>
      <c r="I28" s="39">
        <v>4.1088236651714554E-3</v>
      </c>
      <c r="J28" s="39">
        <v>1.2154162081022917E-4</v>
      </c>
      <c r="K28" s="39">
        <v>1.067129705429354E-2</v>
      </c>
    </row>
    <row r="29" spans="6:11" ht="15" thickBot="1" x14ac:dyDescent="0.35">
      <c r="F29" s="37" t="s">
        <v>9</v>
      </c>
      <c r="G29" s="39">
        <v>2.9254832819815009E-2</v>
      </c>
      <c r="H29" s="39">
        <v>1.2480550590766634E-2</v>
      </c>
      <c r="I29" s="39">
        <v>4.0735073976219871E-3</v>
      </c>
      <c r="J29" s="39">
        <v>1.0622784333202034E-4</v>
      </c>
      <c r="K29" s="39">
        <v>1.0868696880434563E-2</v>
      </c>
    </row>
    <row r="30" spans="6:11" ht="15" thickBot="1" x14ac:dyDescent="0.35">
      <c r="F30" s="37" t="s">
        <v>10</v>
      </c>
      <c r="G30" s="39">
        <v>2.9990186963775815E-2</v>
      </c>
      <c r="H30" s="39">
        <v>1.3002106374492299E-2</v>
      </c>
      <c r="I30" s="39">
        <v>4.0477174553344656E-3</v>
      </c>
      <c r="J30" s="39">
        <v>7.6808573541370688E-5</v>
      </c>
      <c r="K30" s="39">
        <v>1.1171741404746088E-2</v>
      </c>
    </row>
    <row r="31" spans="6:11" ht="15" thickBot="1" x14ac:dyDescent="0.35">
      <c r="F31" s="37" t="s">
        <v>11</v>
      </c>
      <c r="G31" s="39">
        <v>3.3286526652750052E-2</v>
      </c>
      <c r="H31" s="39">
        <v>1.4623350700495792E-2</v>
      </c>
      <c r="I31" s="39">
        <v>4.3982206394474086E-3</v>
      </c>
      <c r="J31" s="39">
        <v>7.0472752775237068E-5</v>
      </c>
      <c r="K31" s="39">
        <v>1.2374888119999117E-2</v>
      </c>
    </row>
    <row r="32" spans="6:11" ht="15" thickBot="1" x14ac:dyDescent="0.35">
      <c r="F32" s="37" t="s">
        <v>12</v>
      </c>
      <c r="G32" s="39">
        <v>3.8983624937803045E-2</v>
      </c>
      <c r="H32" s="39">
        <v>1.4426615710696195E-2</v>
      </c>
      <c r="I32" s="39">
        <v>4.1008328893915478E-3</v>
      </c>
      <c r="J32" s="39">
        <v>3.5176950957988389E-3</v>
      </c>
      <c r="K32" s="39">
        <v>1.5239579534900946E-2</v>
      </c>
    </row>
    <row r="33" spans="6:11" ht="15" thickBot="1" x14ac:dyDescent="0.35">
      <c r="F33" s="37" t="s">
        <v>13</v>
      </c>
      <c r="G33" s="39">
        <v>3.520903141050874E-2</v>
      </c>
      <c r="H33" s="39">
        <v>1.3295563575887783E-2</v>
      </c>
      <c r="I33" s="39">
        <v>3.8069972919522132E-3</v>
      </c>
      <c r="J33" s="39">
        <v>5.1331954805796769E-3</v>
      </c>
      <c r="K33" s="39">
        <v>1.1487741538733937E-2</v>
      </c>
    </row>
    <row r="34" spans="6:11" ht="15" thickBot="1" x14ac:dyDescent="0.35">
      <c r="F34" s="37" t="s">
        <v>14</v>
      </c>
      <c r="G34" s="39">
        <v>3.4406838900112605E-2</v>
      </c>
      <c r="H34" s="39">
        <v>1.3403686961222192E-2</v>
      </c>
      <c r="I34" s="39">
        <v>3.7533827380558105E-3</v>
      </c>
      <c r="J34" s="39">
        <v>4.4916041443900873E-3</v>
      </c>
      <c r="K34" s="39">
        <v>1.1322213377302964E-2</v>
      </c>
    </row>
    <row r="35" spans="6:11" ht="15" thickBot="1" x14ac:dyDescent="0.35">
      <c r="F35" s="37" t="s">
        <v>15</v>
      </c>
      <c r="G35" s="39">
        <v>3.5323832867641743E-2</v>
      </c>
      <c r="H35" s="39">
        <v>1.3890411584701704E-2</v>
      </c>
      <c r="I35" s="39">
        <v>3.8069676504962624E-3</v>
      </c>
      <c r="J35" s="39">
        <v>4.7576651586032723E-3</v>
      </c>
      <c r="K35" s="39">
        <v>1.1407489708232244E-2</v>
      </c>
    </row>
    <row r="36" spans="6:11" ht="15" thickBot="1" x14ac:dyDescent="0.35">
      <c r="F36" s="37" t="s">
        <v>16</v>
      </c>
      <c r="G36" s="39">
        <v>3.636689898227026E-2</v>
      </c>
      <c r="H36" s="39">
        <v>1.4448160615039157E-2</v>
      </c>
      <c r="I36" s="39">
        <v>3.9468007978530227E-3</v>
      </c>
      <c r="J36" s="39">
        <v>4.9748300161012509E-3</v>
      </c>
      <c r="K36" s="39">
        <v>1.1584789704920211E-2</v>
      </c>
    </row>
    <row r="37" spans="6:11" ht="15" thickBot="1" x14ac:dyDescent="0.35">
      <c r="F37" s="37" t="s">
        <v>17</v>
      </c>
      <c r="G37" s="39">
        <v>3.6171909681171246E-2</v>
      </c>
      <c r="H37" s="39">
        <v>1.4908498140979658E-2</v>
      </c>
      <c r="I37" s="39">
        <v>3.8456049593523097E-3</v>
      </c>
      <c r="J37" s="39">
        <v>4.4832728818797697E-3</v>
      </c>
      <c r="K37" s="39">
        <v>1.1479136150358791E-2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topLeftCell="A7" workbookViewId="0">
      <selection activeCell="E22" sqref="E22"/>
    </sheetView>
  </sheetViews>
  <sheetFormatPr defaultRowHeight="14.4" x14ac:dyDescent="0.3"/>
  <cols>
    <col min="3" max="3" width="16.88671875" customWidth="1"/>
    <col min="4" max="4" width="14.6640625" bestFit="1" customWidth="1"/>
    <col min="6" max="6" width="12.88671875" customWidth="1"/>
    <col min="7" max="7" width="12" bestFit="1" customWidth="1"/>
    <col min="9" max="9" width="11.77734375" customWidth="1"/>
    <col min="12" max="12" width="13" customWidth="1"/>
    <col min="15" max="15" width="13.109375" customWidth="1"/>
  </cols>
  <sheetData>
    <row r="1" spans="1:17" ht="15" thickBot="1" x14ac:dyDescent="0.35">
      <c r="A1" t="s">
        <v>93</v>
      </c>
      <c r="B1" t="s">
        <v>97</v>
      </c>
      <c r="C1" t="s">
        <v>61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110</v>
      </c>
      <c r="Q1" t="s">
        <v>111</v>
      </c>
    </row>
    <row r="2" spans="1:17" ht="15" thickBot="1" x14ac:dyDescent="0.35">
      <c r="A2" s="38" t="s">
        <v>44</v>
      </c>
      <c r="B2">
        <v>46.047980000000003</v>
      </c>
      <c r="C2" s="47">
        <v>18034400.722755317</v>
      </c>
      <c r="D2" s="47">
        <f>(C2/B2)*100</f>
        <v>39164368.823030494</v>
      </c>
      <c r="F2" s="16">
        <v>12159573.284438424</v>
      </c>
      <c r="G2">
        <f>(F2/B2)*100</f>
        <v>26406312.034617852</v>
      </c>
      <c r="I2" s="16">
        <v>1366916.2046480118</v>
      </c>
      <c r="J2">
        <f>(I2/B2)*100</f>
        <v>2968460.7330180649</v>
      </c>
      <c r="L2" s="16">
        <v>3960218.4024089817</v>
      </c>
      <c r="M2">
        <f>(L2/B2)*100</f>
        <v>8600200.0574378762</v>
      </c>
      <c r="O2" s="16">
        <v>10945.203671243033</v>
      </c>
      <c r="P2">
        <f>(O2/B2)*100</f>
        <v>23769.128789673363</v>
      </c>
    </row>
    <row r="3" spans="1:17" x14ac:dyDescent="0.3">
      <c r="A3" s="11" t="s">
        <v>43</v>
      </c>
      <c r="B3">
        <v>48.673589999999997</v>
      </c>
      <c r="C3" s="47">
        <v>20531283.284361545</v>
      </c>
      <c r="D3" s="47">
        <f t="shared" ref="D3:D26" si="0">(C3/B3)*100</f>
        <v>42181567.631155923</v>
      </c>
      <c r="E3">
        <f>((D3-D2)/D2)*100</f>
        <v>7.7039382959522476</v>
      </c>
      <c r="F3" s="16">
        <v>13062756.97099521</v>
      </c>
      <c r="G3">
        <f t="shared" ref="G3:G26" si="1">(F3/B3)*100</f>
        <v>26837463.542334169</v>
      </c>
      <c r="H3">
        <f>((G3-G2)/G2)*100</f>
        <v>1.6327592704012985</v>
      </c>
      <c r="I3" s="16">
        <v>2306539.1536767408</v>
      </c>
      <c r="J3">
        <f t="shared" ref="J3:J26" si="2">(I3/B3)*100</f>
        <v>4738789.872858651</v>
      </c>
      <c r="K3" s="39">
        <f>(J3-J2)/J2</f>
        <v>0.59637950408078133</v>
      </c>
      <c r="L3" s="16">
        <v>4545921.3935395563</v>
      </c>
      <c r="M3">
        <f t="shared" ref="M3:M26" si="3">(L3/B3)*100</f>
        <v>9339605.7154188883</v>
      </c>
      <c r="N3" s="39">
        <f>(L3-L2)/L2</f>
        <v>0.14789663892635171</v>
      </c>
      <c r="O3" s="16">
        <v>16212.242637523947</v>
      </c>
      <c r="P3">
        <f t="shared" ref="P3:P26" si="4">(O3/B3)*100</f>
        <v>33308.088919522779</v>
      </c>
      <c r="Q3" s="39">
        <f>(P3-P2)/P2</f>
        <v>0.40131719653072323</v>
      </c>
    </row>
    <row r="4" spans="1:17" x14ac:dyDescent="0.3">
      <c r="A4" s="11" t="s">
        <v>42</v>
      </c>
      <c r="B4">
        <v>53.295000000000002</v>
      </c>
      <c r="C4" s="47">
        <v>28325014.832089867</v>
      </c>
      <c r="D4" s="47">
        <f t="shared" si="0"/>
        <v>53147602.649572879</v>
      </c>
      <c r="E4">
        <f t="shared" ref="E4:E26" si="5">((D4-D3)/D3)*100</f>
        <v>25.997220194152487</v>
      </c>
      <c r="F4" s="16">
        <v>15706446.916154565</v>
      </c>
      <c r="G4">
        <f t="shared" si="1"/>
        <v>29470770.083787531</v>
      </c>
      <c r="H4">
        <f t="shared" ref="H4:H26" si="6">((G4-G3)/G3)*100</f>
        <v>9.8120544711668067</v>
      </c>
      <c r="I4" s="16">
        <v>4398433.8213172602</v>
      </c>
      <c r="J4">
        <f t="shared" si="2"/>
        <v>8252995.2553096171</v>
      </c>
      <c r="K4" s="39">
        <f t="shared" ref="K4:K26" si="7">(J4-J3)/J3</f>
        <v>0.74158286751192015</v>
      </c>
      <c r="L4" s="16">
        <v>7112513.8539871331</v>
      </c>
      <c r="M4">
        <f t="shared" si="3"/>
        <v>13345555.594309283</v>
      </c>
      <c r="N4" s="39">
        <f t="shared" ref="N4:N26" si="8">(L4-L3)/L3</f>
        <v>0.56459235394943119</v>
      </c>
      <c r="O4" s="16">
        <v>31961.873229994369</v>
      </c>
      <c r="P4">
        <f t="shared" si="4"/>
        <v>59971.616905890551</v>
      </c>
      <c r="Q4" s="39">
        <f t="shared" ref="Q4:Q26" si="9">(P4-P3)/P3</f>
        <v>0.80051209334737761</v>
      </c>
    </row>
    <row r="5" spans="1:17" x14ac:dyDescent="0.3">
      <c r="A5" s="11" t="s">
        <v>41</v>
      </c>
      <c r="B5">
        <v>56.321849999999998</v>
      </c>
      <c r="C5" s="47">
        <v>37070367</v>
      </c>
      <c r="D5" s="47">
        <f t="shared" si="0"/>
        <v>65818802.116762862</v>
      </c>
      <c r="E5">
        <f t="shared" si="5"/>
        <v>23.841525930599648</v>
      </c>
      <c r="F5" s="16">
        <f xml:space="preserve"> 17146000</f>
        <v>17146000</v>
      </c>
      <c r="G5">
        <f t="shared" si="1"/>
        <v>30442892.056990314</v>
      </c>
      <c r="H5">
        <f t="shared" si="6"/>
        <v>3.2985971199224537</v>
      </c>
      <c r="I5" s="16">
        <v>7690000</v>
      </c>
      <c r="J5">
        <f t="shared" si="2"/>
        <v>13653670.822247494</v>
      </c>
      <c r="K5" s="39">
        <f t="shared" si="7"/>
        <v>0.65438975788375953</v>
      </c>
      <c r="L5" s="16">
        <f xml:space="preserve"> 10329* 1000</f>
        <v>10329000</v>
      </c>
      <c r="M5">
        <f t="shared" si="3"/>
        <v>18339241.342391986</v>
      </c>
      <c r="N5" s="39">
        <f t="shared" si="8"/>
        <v>0.45222915723528173</v>
      </c>
      <c r="O5" s="16">
        <v>73920</v>
      </c>
      <c r="P5">
        <f t="shared" si="4"/>
        <v>131245.68884012155</v>
      </c>
      <c r="Q5" s="39">
        <f t="shared" si="9"/>
        <v>1.1884634033809134</v>
      </c>
    </row>
    <row r="6" spans="1:17" x14ac:dyDescent="0.3">
      <c r="A6" s="11" t="s">
        <v>40</v>
      </c>
      <c r="B6">
        <v>55.932080000000013</v>
      </c>
      <c r="C6" s="47">
        <v>44900380</v>
      </c>
      <c r="D6" s="47">
        <f t="shared" si="0"/>
        <v>80276614.064772829</v>
      </c>
      <c r="E6">
        <f t="shared" si="5"/>
        <v>21.966081853573911</v>
      </c>
      <c r="F6" s="16">
        <v>18504000</v>
      </c>
      <c r="G6">
        <f t="shared" si="1"/>
        <v>33082982.073972568</v>
      </c>
      <c r="H6">
        <f t="shared" si="6"/>
        <v>8.6722707292063426</v>
      </c>
      <c r="I6" s="16">
        <v>11431000</v>
      </c>
      <c r="J6">
        <f t="shared" si="2"/>
        <v>20437287.51013729</v>
      </c>
      <c r="K6" s="39">
        <f t="shared" si="7"/>
        <v>0.49683464441199726</v>
      </c>
      <c r="L6" s="16">
        <v>12570000</v>
      </c>
      <c r="M6">
        <f t="shared" si="3"/>
        <v>22473685.941949587</v>
      </c>
      <c r="N6" s="39">
        <f t="shared" si="8"/>
        <v>0.21696195178623293</v>
      </c>
      <c r="O6" s="16">
        <v>16380</v>
      </c>
      <c r="P6">
        <f t="shared" si="4"/>
        <v>29285.519151084667</v>
      </c>
      <c r="Q6" s="39">
        <f t="shared" si="9"/>
        <v>-0.77686490573599598</v>
      </c>
    </row>
    <row r="7" spans="1:17" x14ac:dyDescent="0.3">
      <c r="A7" s="11" t="s">
        <v>39</v>
      </c>
      <c r="B7">
        <v>57.085880000000003</v>
      </c>
      <c r="C7" s="47">
        <v>50813000</v>
      </c>
      <c r="D7" s="47">
        <f t="shared" si="0"/>
        <v>89011503.370010242</v>
      </c>
      <c r="E7">
        <f t="shared" si="5"/>
        <v>10.880988700133127</v>
      </c>
      <c r="F7" s="16">
        <v>19527000</v>
      </c>
      <c r="G7">
        <f t="shared" si="1"/>
        <v>34206357.158722959</v>
      </c>
      <c r="H7">
        <f t="shared" si="6"/>
        <v>3.3956282485011724</v>
      </c>
      <c r="I7" s="16">
        <v>14143000</v>
      </c>
      <c r="J7">
        <f t="shared" si="2"/>
        <v>24774953.105741732</v>
      </c>
      <c r="K7" s="39">
        <f t="shared" si="7"/>
        <v>0.21224272513917886</v>
      </c>
      <c r="L7" s="16">
        <v>14099000</v>
      </c>
      <c r="M7">
        <f t="shared" si="3"/>
        <v>24697876.252411276</v>
      </c>
      <c r="N7" s="39">
        <f t="shared" si="8"/>
        <v>0.12163882259347653</v>
      </c>
      <c r="O7" s="16">
        <v>47000</v>
      </c>
      <c r="P7">
        <f t="shared" si="4"/>
        <v>82332.093330259595</v>
      </c>
      <c r="Q7" s="39">
        <f t="shared" si="9"/>
        <v>1.8113585047103462</v>
      </c>
    </row>
    <row r="8" spans="1:17" x14ac:dyDescent="0.3">
      <c r="A8" s="11" t="s">
        <v>38</v>
      </c>
      <c r="B8">
        <v>58.937690000000003</v>
      </c>
      <c r="C8" s="47">
        <v>57032000</v>
      </c>
      <c r="D8" s="47">
        <f t="shared" si="0"/>
        <v>96766602.152205139</v>
      </c>
      <c r="E8">
        <f t="shared" si="5"/>
        <v>8.7124680390554392</v>
      </c>
      <c r="F8" s="16">
        <v>21222000</v>
      </c>
      <c r="G8">
        <f t="shared" si="1"/>
        <v>36007519.12740387</v>
      </c>
      <c r="H8">
        <f t="shared" si="6"/>
        <v>5.2655766889272408</v>
      </c>
      <c r="I8" s="16">
        <v>17559000</v>
      </c>
      <c r="J8">
        <f t="shared" si="2"/>
        <v>29792480.838661984</v>
      </c>
      <c r="K8" s="39">
        <f t="shared" si="7"/>
        <v>0.20252420706933294</v>
      </c>
      <c r="L8" s="16">
        <v>14261000</v>
      </c>
      <c r="M8">
        <f t="shared" si="3"/>
        <v>24196740.659499887</v>
      </c>
      <c r="N8" s="39">
        <f t="shared" si="8"/>
        <v>1.149017660827009E-2</v>
      </c>
      <c r="O8" s="16">
        <v>41000</v>
      </c>
      <c r="P8">
        <f t="shared" si="4"/>
        <v>69564.993130881106</v>
      </c>
      <c r="Q8" s="39">
        <f t="shared" si="9"/>
        <v>-0.15506832977227586</v>
      </c>
    </row>
    <row r="9" spans="1:17" x14ac:dyDescent="0.3">
      <c r="A9" s="11" t="s">
        <v>37</v>
      </c>
      <c r="B9">
        <v>62.578749999999999</v>
      </c>
      <c r="C9" s="47">
        <v>62467000</v>
      </c>
      <c r="D9" s="47">
        <f t="shared" si="0"/>
        <v>99821425.004494339</v>
      </c>
      <c r="E9">
        <f t="shared" si="5"/>
        <v>3.156897921748083</v>
      </c>
      <c r="F9" s="16">
        <v>22801000</v>
      </c>
      <c r="G9">
        <f t="shared" si="1"/>
        <v>36435691.029303081</v>
      </c>
      <c r="H9">
        <f t="shared" si="6"/>
        <v>1.189118029443319</v>
      </c>
      <c r="I9" s="16">
        <v>19625000</v>
      </c>
      <c r="J9">
        <f t="shared" si="2"/>
        <v>31360485.787907235</v>
      </c>
      <c r="K9" s="39">
        <f t="shared" si="7"/>
        <v>5.2630895618817918E-2</v>
      </c>
      <c r="L9" s="16">
        <v>15280000</v>
      </c>
      <c r="M9">
        <f t="shared" si="3"/>
        <v>24417234.284801148</v>
      </c>
      <c r="N9" s="39">
        <f t="shared" si="8"/>
        <v>7.1453614753523589E-2</v>
      </c>
      <c r="O9" s="16">
        <v>106000</v>
      </c>
      <c r="P9">
        <f t="shared" si="4"/>
        <v>169386.57291812316</v>
      </c>
      <c r="Q9" s="39">
        <f t="shared" si="9"/>
        <v>1.4349398353196923</v>
      </c>
    </row>
    <row r="10" spans="1:17" x14ac:dyDescent="0.3">
      <c r="A10" s="11" t="s">
        <v>36</v>
      </c>
      <c r="B10">
        <v>68.780299999999997</v>
      </c>
      <c r="C10" s="47">
        <v>70715000</v>
      </c>
      <c r="D10" s="47">
        <f t="shared" si="0"/>
        <v>102812869.38265754</v>
      </c>
      <c r="E10">
        <f t="shared" si="5"/>
        <v>2.9967959063182255</v>
      </c>
      <c r="F10" s="16">
        <v>25934000</v>
      </c>
      <c r="G10">
        <f t="shared" si="1"/>
        <v>37705563.947816454</v>
      </c>
      <c r="H10">
        <f t="shared" si="6"/>
        <v>3.4852445024086096</v>
      </c>
      <c r="I10" s="16">
        <v>22348000</v>
      </c>
      <c r="J10">
        <f t="shared" si="2"/>
        <v>32491861.768558733</v>
      </c>
      <c r="K10" s="39">
        <f t="shared" si="7"/>
        <v>3.6076481349908242E-2</v>
      </c>
      <c r="L10" s="16">
        <v>16474000</v>
      </c>
      <c r="M10">
        <f t="shared" si="3"/>
        <v>23951625.683516938</v>
      </c>
      <c r="N10" s="39">
        <f t="shared" si="8"/>
        <v>7.81413612565445E-2</v>
      </c>
      <c r="O10" s="16">
        <v>623000</v>
      </c>
      <c r="P10">
        <f t="shared" si="4"/>
        <v>905782.61508019024</v>
      </c>
      <c r="Q10" s="39">
        <f t="shared" si="9"/>
        <v>4.3474286625895715</v>
      </c>
    </row>
    <row r="11" spans="1:17" x14ac:dyDescent="0.3">
      <c r="A11" s="11" t="s">
        <v>35</v>
      </c>
      <c r="B11">
        <v>73.758679999999998</v>
      </c>
      <c r="C11" s="47">
        <v>79259700</v>
      </c>
      <c r="D11" s="47">
        <f t="shared" si="0"/>
        <v>107458132.38523248</v>
      </c>
      <c r="E11">
        <f t="shared" si="5"/>
        <v>4.5181727058757666</v>
      </c>
      <c r="F11" s="17">
        <v>29826400</v>
      </c>
      <c r="G11">
        <f t="shared" si="1"/>
        <v>40437816.945747942</v>
      </c>
      <c r="H11">
        <f t="shared" si="6"/>
        <v>7.2462859903457657</v>
      </c>
      <c r="I11" s="26">
        <v>26669800</v>
      </c>
      <c r="J11">
        <f t="shared" si="2"/>
        <v>36158185.043441668</v>
      </c>
      <c r="K11" s="39">
        <f t="shared" si="7"/>
        <v>0.11283820240890939</v>
      </c>
      <c r="L11" s="26">
        <v>16566700</v>
      </c>
      <c r="M11">
        <f t="shared" si="3"/>
        <v>22460678.526242606</v>
      </c>
      <c r="N11" s="39">
        <f t="shared" si="8"/>
        <v>5.6270486827728538E-3</v>
      </c>
      <c r="O11" s="26">
        <v>165500</v>
      </c>
      <c r="P11">
        <f t="shared" si="4"/>
        <v>224380.37123224008</v>
      </c>
      <c r="Q11" s="39">
        <f t="shared" si="9"/>
        <v>-0.75228010838740222</v>
      </c>
    </row>
    <row r="12" spans="1:17" x14ac:dyDescent="0.3">
      <c r="A12" s="11" t="s">
        <v>34</v>
      </c>
      <c r="B12">
        <v>76.758809999999997</v>
      </c>
      <c r="C12" s="47">
        <v>87493000</v>
      </c>
      <c r="D12" s="47">
        <f t="shared" si="0"/>
        <v>113984310.07463509</v>
      </c>
      <c r="E12">
        <f t="shared" si="5"/>
        <v>6.0732282839297467</v>
      </c>
      <c r="F12" s="18">
        <v>33750600</v>
      </c>
      <c r="G12">
        <f t="shared" si="1"/>
        <v>43969675.923845097</v>
      </c>
      <c r="H12">
        <f t="shared" si="6"/>
        <v>8.7340495725463061</v>
      </c>
      <c r="I12" s="30">
        <v>30341500</v>
      </c>
      <c r="J12">
        <f t="shared" si="2"/>
        <v>39528361.630410895</v>
      </c>
      <c r="K12" s="39">
        <f t="shared" si="7"/>
        <v>9.3206464398591427E-2</v>
      </c>
      <c r="L12" s="27">
        <v>16840200</v>
      </c>
      <c r="M12">
        <f t="shared" si="3"/>
        <v>21939110.311897747</v>
      </c>
      <c r="N12" s="39">
        <f t="shared" si="8"/>
        <v>1.650902110860944E-2</v>
      </c>
      <c r="O12" s="30">
        <v>173700</v>
      </c>
      <c r="P12">
        <f t="shared" si="4"/>
        <v>226293.24243041288</v>
      </c>
      <c r="Q12" s="39">
        <f t="shared" si="9"/>
        <v>8.5251271653923825E-3</v>
      </c>
    </row>
    <row r="13" spans="1:17" ht="15" thickBot="1" x14ac:dyDescent="0.35">
      <c r="A13" s="11" t="s">
        <v>33</v>
      </c>
      <c r="B13">
        <v>80.597399999999993</v>
      </c>
      <c r="C13" s="47">
        <v>95963000</v>
      </c>
      <c r="D13" s="47">
        <f t="shared" si="0"/>
        <v>119064634.83933724</v>
      </c>
      <c r="E13">
        <f t="shared" si="5"/>
        <v>4.4570386585448833</v>
      </c>
      <c r="F13" s="18">
        <v>37120000</v>
      </c>
      <c r="G13">
        <f t="shared" si="1"/>
        <v>46056076.250598662</v>
      </c>
      <c r="H13">
        <f t="shared" si="6"/>
        <v>4.7450891618286706</v>
      </c>
      <c r="I13" s="30">
        <v>34319600</v>
      </c>
      <c r="J13">
        <f t="shared" si="2"/>
        <v>42581522.480874076</v>
      </c>
      <c r="K13" s="39">
        <f t="shared" si="7"/>
        <v>7.7239752029445399E-2</v>
      </c>
      <c r="L13" s="27">
        <v>17375000</v>
      </c>
      <c r="M13">
        <f t="shared" si="3"/>
        <v>21557767.372148484</v>
      </c>
      <c r="N13" s="39">
        <f t="shared" si="8"/>
        <v>3.17573425493759E-2</v>
      </c>
      <c r="O13" s="30">
        <v>185300</v>
      </c>
      <c r="P13">
        <f t="shared" si="4"/>
        <v>229908.16080915765</v>
      </c>
      <c r="Q13" s="39">
        <f t="shared" si="9"/>
        <v>1.5974486643614148E-2</v>
      </c>
    </row>
    <row r="14" spans="1:17" ht="15" thickBot="1" x14ac:dyDescent="0.35">
      <c r="A14" s="37" t="s">
        <v>4</v>
      </c>
      <c r="B14">
        <v>85.222059999999999</v>
      </c>
      <c r="C14" s="47">
        <v>103898845</v>
      </c>
      <c r="D14" s="47">
        <f t="shared" si="0"/>
        <v>121915434.80643393</v>
      </c>
      <c r="E14">
        <f t="shared" si="5"/>
        <v>2.3943297444648302</v>
      </c>
      <c r="F14" s="16">
        <v>40475021</v>
      </c>
      <c r="G14">
        <f t="shared" si="1"/>
        <v>47493596.14165628</v>
      </c>
      <c r="H14">
        <f t="shared" si="6"/>
        <v>3.1212382992329539</v>
      </c>
      <c r="I14" s="16">
        <v>38087990</v>
      </c>
      <c r="J14">
        <f t="shared" si="2"/>
        <v>44692641.787818789</v>
      </c>
      <c r="K14" s="39">
        <f t="shared" si="7"/>
        <v>4.9578295559839218E-2</v>
      </c>
      <c r="L14" s="16">
        <v>17636570</v>
      </c>
      <c r="M14">
        <f t="shared" si="3"/>
        <v>20694841.218341824</v>
      </c>
      <c r="N14" s="39">
        <f t="shared" si="8"/>
        <v>1.5054388489208634E-2</v>
      </c>
      <c r="O14" s="16">
        <v>239286</v>
      </c>
      <c r="P14">
        <f t="shared" si="4"/>
        <v>280779.41321765748</v>
      </c>
      <c r="Q14" s="39">
        <f t="shared" si="9"/>
        <v>0.22126771067829593</v>
      </c>
    </row>
    <row r="15" spans="1:17" ht="15" thickBot="1" x14ac:dyDescent="0.35">
      <c r="A15" s="37" t="s">
        <v>5</v>
      </c>
      <c r="B15">
        <v>90.148039999999995</v>
      </c>
      <c r="C15" s="47">
        <v>109596591</v>
      </c>
      <c r="D15" s="47">
        <f t="shared" si="0"/>
        <v>121574014.25477472</v>
      </c>
      <c r="E15">
        <f t="shared" si="5"/>
        <v>-0.2800470278445773</v>
      </c>
      <c r="F15" s="16">
        <v>44064239</v>
      </c>
      <c r="G15">
        <f t="shared" si="1"/>
        <v>48879863.611011401</v>
      </c>
      <c r="H15">
        <f t="shared" si="6"/>
        <v>2.9188513441272903</v>
      </c>
      <c r="I15" s="16">
        <v>39623748</v>
      </c>
      <c r="J15">
        <f t="shared" si="2"/>
        <v>43954087.07721211</v>
      </c>
      <c r="K15" s="39">
        <f t="shared" si="7"/>
        <v>-1.652519701370565E-2</v>
      </c>
      <c r="L15" s="16">
        <v>17768631</v>
      </c>
      <c r="M15">
        <f t="shared" si="3"/>
        <v>19710501.748013601</v>
      </c>
      <c r="N15" s="39">
        <f t="shared" si="8"/>
        <v>7.4879072291267517E-3</v>
      </c>
      <c r="O15" s="16">
        <v>533047</v>
      </c>
      <c r="P15">
        <f t="shared" si="4"/>
        <v>591301.81865296245</v>
      </c>
      <c r="Q15" s="39">
        <f t="shared" si="9"/>
        <v>1.1059301031966722</v>
      </c>
    </row>
    <row r="16" spans="1:17" ht="15" thickBot="1" x14ac:dyDescent="0.35">
      <c r="A16" s="37" t="s">
        <v>6</v>
      </c>
      <c r="B16">
        <v>95.676670000000001</v>
      </c>
      <c r="C16" s="47">
        <v>119994761</v>
      </c>
      <c r="D16" s="47">
        <f t="shared" si="0"/>
        <v>125416949.60746439</v>
      </c>
      <c r="E16">
        <f t="shared" si="5"/>
        <v>3.1609841759738888</v>
      </c>
      <c r="F16" s="16">
        <v>49044747</v>
      </c>
      <c r="G16">
        <f t="shared" si="1"/>
        <v>51260925.991675921</v>
      </c>
      <c r="H16">
        <f t="shared" si="6"/>
        <v>4.8712541418141901</v>
      </c>
      <c r="I16" s="16">
        <v>43741007</v>
      </c>
      <c r="J16">
        <f t="shared" si="2"/>
        <v>45717526.54016909</v>
      </c>
      <c r="K16" s="39">
        <f t="shared" si="7"/>
        <v>4.0120033885796047E-2</v>
      </c>
      <c r="L16" s="16">
        <v>18744785</v>
      </c>
      <c r="M16">
        <f t="shared" si="3"/>
        <v>19591803.310044128</v>
      </c>
      <c r="N16" s="39">
        <f t="shared" si="8"/>
        <v>5.4936927892756622E-2</v>
      </c>
      <c r="O16" s="16">
        <v>455607</v>
      </c>
      <c r="P16">
        <f t="shared" si="4"/>
        <v>476194.45785477274</v>
      </c>
      <c r="Q16" s="39">
        <f t="shared" si="9"/>
        <v>-0.19466769282126412</v>
      </c>
    </row>
    <row r="17" spans="1:17" ht="15" thickBot="1" x14ac:dyDescent="0.35">
      <c r="A17" s="37" t="s">
        <v>7</v>
      </c>
      <c r="B17">
        <v>100</v>
      </c>
      <c r="C17" s="47">
        <v>128333376</v>
      </c>
      <c r="D17" s="47">
        <f t="shared" si="0"/>
        <v>128333376</v>
      </c>
      <c r="E17">
        <f t="shared" si="5"/>
        <v>2.3253845685639578</v>
      </c>
      <c r="F17" s="19">
        <v>53134481</v>
      </c>
      <c r="G17">
        <f t="shared" si="1"/>
        <v>53134481.000000007</v>
      </c>
      <c r="H17">
        <f t="shared" si="6"/>
        <v>3.6549378929056542</v>
      </c>
      <c r="I17" s="28">
        <v>47308008</v>
      </c>
      <c r="J17">
        <f t="shared" si="2"/>
        <v>47308008</v>
      </c>
      <c r="K17" s="39">
        <f t="shared" si="7"/>
        <v>3.4789315612546425E-2</v>
      </c>
      <c r="L17" s="28">
        <v>19166969</v>
      </c>
      <c r="M17">
        <f t="shared" si="3"/>
        <v>19166969</v>
      </c>
      <c r="N17" s="39">
        <f t="shared" si="8"/>
        <v>2.2522744325955191E-2</v>
      </c>
      <c r="O17" s="28">
        <v>412919</v>
      </c>
      <c r="P17">
        <f t="shared" si="4"/>
        <v>412918.99999999994</v>
      </c>
      <c r="Q17" s="39">
        <f t="shared" si="9"/>
        <v>-0.13287735044171853</v>
      </c>
    </row>
    <row r="18" spans="1:17" ht="15" thickBot="1" x14ac:dyDescent="0.35">
      <c r="A18" s="37" t="s">
        <v>8</v>
      </c>
      <c r="B18">
        <v>106.60290000000001</v>
      </c>
      <c r="C18" s="47">
        <v>138915638</v>
      </c>
      <c r="D18" s="47">
        <f t="shared" si="0"/>
        <v>130311312.35641807</v>
      </c>
      <c r="E18">
        <f t="shared" si="5"/>
        <v>1.5412485964820821</v>
      </c>
      <c r="F18" s="20">
        <v>58327000</v>
      </c>
      <c r="G18">
        <f t="shared" si="1"/>
        <v>54714271.375356577</v>
      </c>
      <c r="H18">
        <f t="shared" si="6"/>
        <v>2.9731924460814243</v>
      </c>
      <c r="I18" s="29">
        <v>51555181</v>
      </c>
      <c r="J18">
        <f t="shared" si="2"/>
        <v>48361893.53197708</v>
      </c>
      <c r="K18" s="39">
        <f t="shared" si="7"/>
        <v>2.2277106488547981E-2</v>
      </c>
      <c r="L18" s="29">
        <v>19850553</v>
      </c>
      <c r="M18">
        <f t="shared" si="3"/>
        <v>18621025.319198631</v>
      </c>
      <c r="N18" s="39">
        <f t="shared" si="8"/>
        <v>3.5664689602200539E-2</v>
      </c>
      <c r="O18" s="29">
        <v>587192</v>
      </c>
      <c r="P18">
        <f t="shared" si="4"/>
        <v>550821.78815022856</v>
      </c>
      <c r="Q18" s="39">
        <f t="shared" si="9"/>
        <v>0.33397055633242512</v>
      </c>
    </row>
    <row r="19" spans="1:17" ht="15" thickBot="1" x14ac:dyDescent="0.35">
      <c r="A19" s="37" t="s">
        <v>9</v>
      </c>
      <c r="B19">
        <v>112.1315</v>
      </c>
      <c r="C19" s="47">
        <v>150323267</v>
      </c>
      <c r="D19" s="47">
        <f t="shared" si="0"/>
        <v>134059802.10734718</v>
      </c>
      <c r="E19">
        <f t="shared" si="5"/>
        <v>2.8765651140681512</v>
      </c>
      <c r="F19" s="20">
        <v>64130161</v>
      </c>
      <c r="G19">
        <f t="shared" si="1"/>
        <v>57191922.876265809</v>
      </c>
      <c r="H19">
        <f t="shared" si="6"/>
        <v>4.5283459664696757</v>
      </c>
      <c r="I19" s="29">
        <v>55847799</v>
      </c>
      <c r="J19">
        <f t="shared" si="2"/>
        <v>49805629.105113193</v>
      </c>
      <c r="K19" s="39">
        <f t="shared" si="7"/>
        <v>2.9852751157923744E-2</v>
      </c>
      <c r="L19" s="29">
        <v>20931343</v>
      </c>
      <c r="M19">
        <f t="shared" si="3"/>
        <v>18666782.304704741</v>
      </c>
      <c r="N19" s="39">
        <f t="shared" si="8"/>
        <v>5.4446342124574568E-2</v>
      </c>
      <c r="O19" s="29">
        <v>545842</v>
      </c>
      <c r="P19">
        <f t="shared" si="4"/>
        <v>486787.38802209898</v>
      </c>
      <c r="Q19" s="39">
        <f t="shared" si="9"/>
        <v>-0.11625248221057141</v>
      </c>
    </row>
    <row r="20" spans="1:17" ht="15" thickBot="1" x14ac:dyDescent="0.35">
      <c r="A20" s="37" t="s">
        <v>10</v>
      </c>
      <c r="B20">
        <v>117.1885</v>
      </c>
      <c r="C20" s="47">
        <v>162709840</v>
      </c>
      <c r="D20" s="47">
        <f t="shared" si="0"/>
        <v>138844545.32654652</v>
      </c>
      <c r="E20">
        <f t="shared" si="5"/>
        <v>3.5691110563985502</v>
      </c>
      <c r="F20" s="21">
        <v>70542096</v>
      </c>
      <c r="G20">
        <f t="shared" si="1"/>
        <v>60195408.25251624</v>
      </c>
      <c r="H20">
        <f t="shared" si="6"/>
        <v>5.2515901288166926</v>
      </c>
      <c r="I20" s="21">
        <v>60611568</v>
      </c>
      <c r="J20">
        <f t="shared" si="2"/>
        <v>51721430.0037973</v>
      </c>
      <c r="K20" s="39">
        <f t="shared" si="7"/>
        <v>3.8465549639798147E-2</v>
      </c>
      <c r="L20" s="21">
        <v>21960632</v>
      </c>
      <c r="M20">
        <f t="shared" si="3"/>
        <v>18739579.395589158</v>
      </c>
      <c r="N20" s="39">
        <f t="shared" si="8"/>
        <v>4.9174532183625295E-2</v>
      </c>
      <c r="O20" s="31">
        <v>416720</v>
      </c>
      <c r="P20">
        <f t="shared" si="4"/>
        <v>355598.03223012493</v>
      </c>
      <c r="Q20" s="39">
        <f t="shared" si="9"/>
        <v>-0.26950031783900363</v>
      </c>
    </row>
    <row r="21" spans="1:17" ht="15" thickBot="1" x14ac:dyDescent="0.35">
      <c r="A21" s="37" t="s">
        <v>11</v>
      </c>
      <c r="B21">
        <v>121.9966</v>
      </c>
      <c r="C21" s="47">
        <v>190040836</v>
      </c>
      <c r="D21" s="47">
        <f t="shared" si="0"/>
        <v>155775518.3341175</v>
      </c>
      <c r="E21">
        <f t="shared" si="5"/>
        <v>12.194193850216633</v>
      </c>
      <c r="F21" s="22">
        <v>83488248</v>
      </c>
      <c r="G21">
        <f t="shared" si="1"/>
        <v>68434897.365992174</v>
      </c>
      <c r="H21">
        <f t="shared" si="6"/>
        <v>13.687903035579982</v>
      </c>
      <c r="I21" s="22">
        <v>70651231</v>
      </c>
      <c r="J21">
        <f t="shared" si="2"/>
        <v>57912459.035743624</v>
      </c>
      <c r="K21" s="39">
        <f t="shared" si="7"/>
        <v>0.11969949460971573</v>
      </c>
      <c r="L21" s="22">
        <v>25110506</v>
      </c>
      <c r="M21">
        <f t="shared" si="3"/>
        <v>20582955.59056564</v>
      </c>
      <c r="N21" s="39">
        <f t="shared" si="8"/>
        <v>0.1434327573086239</v>
      </c>
      <c r="O21" s="32">
        <v>402346</v>
      </c>
      <c r="P21">
        <f t="shared" si="4"/>
        <v>329800.9944539438</v>
      </c>
      <c r="Q21" s="39">
        <f t="shared" si="9"/>
        <v>-7.2545502050153629E-2</v>
      </c>
    </row>
    <row r="22" spans="1:17" ht="15" thickBot="1" x14ac:dyDescent="0.35">
      <c r="A22" s="37" t="s">
        <v>12</v>
      </c>
      <c r="B22">
        <v>125.94</v>
      </c>
      <c r="C22" s="47">
        <v>218945759.88668001</v>
      </c>
      <c r="D22" s="47">
        <f t="shared" si="0"/>
        <v>173849261.46314117</v>
      </c>
      <c r="E22">
        <f t="shared" si="5"/>
        <v>11.60242849602203</v>
      </c>
      <c r="F22" s="22">
        <v>81024952</v>
      </c>
      <c r="G22">
        <f t="shared" si="1"/>
        <v>64336153.723995551</v>
      </c>
      <c r="H22">
        <f t="shared" si="6"/>
        <v>-5.9892595733378551</v>
      </c>
      <c r="I22" s="22">
        <v>85590843</v>
      </c>
      <c r="J22">
        <f t="shared" si="2"/>
        <v>67961603.144354448</v>
      </c>
      <c r="K22" s="39">
        <f t="shared" si="7"/>
        <v>0.17352300827717371</v>
      </c>
      <c r="L22" s="22">
        <v>23031721</v>
      </c>
      <c r="M22">
        <f t="shared" si="3"/>
        <v>18287852.151818328</v>
      </c>
      <c r="N22" s="39">
        <f t="shared" si="8"/>
        <v>-8.2785468361330508E-2</v>
      </c>
      <c r="O22" s="32">
        <v>19756613.88668</v>
      </c>
      <c r="P22">
        <f t="shared" si="4"/>
        <v>15687322.444560902</v>
      </c>
      <c r="Q22" s="39">
        <f t="shared" si="9"/>
        <v>46.566025295146929</v>
      </c>
    </row>
    <row r="23" spans="1:17" ht="15" thickBot="1" x14ac:dyDescent="0.35">
      <c r="A23" s="37" t="s">
        <v>13</v>
      </c>
      <c r="B23">
        <v>131.7569</v>
      </c>
      <c r="C23" s="47">
        <v>222717897</v>
      </c>
      <c r="D23" s="47">
        <f t="shared" si="0"/>
        <v>169036989.33414492</v>
      </c>
      <c r="E23">
        <f t="shared" si="5"/>
        <v>-2.7680716550047189</v>
      </c>
      <c r="F23" s="23">
        <v>84102284</v>
      </c>
      <c r="G23">
        <f t="shared" si="1"/>
        <v>63831407.690982401</v>
      </c>
      <c r="H23">
        <f t="shared" si="6"/>
        <v>-0.78454493126606395</v>
      </c>
      <c r="I23" s="23">
        <v>72666743</v>
      </c>
      <c r="J23">
        <f t="shared" si="2"/>
        <v>55152134.726909935</v>
      </c>
      <c r="K23" s="39">
        <f t="shared" si="7"/>
        <v>-0.18848096314379822</v>
      </c>
      <c r="L23" s="23">
        <v>24081504</v>
      </c>
      <c r="M23">
        <f t="shared" si="3"/>
        <v>18277224.190915238</v>
      </c>
      <c r="N23" s="39">
        <f t="shared" si="8"/>
        <v>4.5579876553732135E-2</v>
      </c>
      <c r="O23" s="33">
        <v>32470490</v>
      </c>
      <c r="P23">
        <f t="shared" si="4"/>
        <v>24644242.540618367</v>
      </c>
      <c r="Q23" s="39">
        <f t="shared" si="9"/>
        <v>0.5709655122925712</v>
      </c>
    </row>
    <row r="24" spans="1:17" ht="15" thickBot="1" x14ac:dyDescent="0.35">
      <c r="A24" s="37" t="s">
        <v>14</v>
      </c>
      <c r="B24">
        <v>141.0324</v>
      </c>
      <c r="C24" s="47">
        <v>232709141</v>
      </c>
      <c r="D24" s="47">
        <f t="shared" si="0"/>
        <v>165004028.15239617</v>
      </c>
      <c r="E24">
        <f t="shared" si="5"/>
        <v>-2.3858453688953052</v>
      </c>
      <c r="F24" s="24">
        <v>90655247</v>
      </c>
      <c r="G24">
        <f t="shared" si="1"/>
        <v>64279730.756904095</v>
      </c>
      <c r="H24">
        <f t="shared" si="6"/>
        <v>0.70235497248015355</v>
      </c>
      <c r="I24" s="24">
        <v>76577292</v>
      </c>
      <c r="J24">
        <f t="shared" si="2"/>
        <v>54297659.261276133</v>
      </c>
      <c r="K24" s="39">
        <f t="shared" si="7"/>
        <v>-1.5493062414805947E-2</v>
      </c>
      <c r="L24" s="24">
        <v>25385839</v>
      </c>
      <c r="M24">
        <f t="shared" si="3"/>
        <v>18000004.963398483</v>
      </c>
      <c r="N24" s="39">
        <f t="shared" si="8"/>
        <v>5.4163352920149836E-2</v>
      </c>
      <c r="O24" s="34">
        <v>30378767</v>
      </c>
      <c r="P24">
        <f t="shared" si="4"/>
        <v>21540275.142449535</v>
      </c>
      <c r="Q24" s="39">
        <f t="shared" si="9"/>
        <v>-0.12595101647181517</v>
      </c>
    </row>
    <row r="25" spans="1:17" ht="15" thickBot="1" x14ac:dyDescent="0.35">
      <c r="A25" s="37" t="s">
        <v>15</v>
      </c>
      <c r="B25">
        <v>149.60040000000001</v>
      </c>
      <c r="C25" s="47">
        <v>250527891</v>
      </c>
      <c r="D25" s="47">
        <f t="shared" si="0"/>
        <v>167464720.0141176</v>
      </c>
      <c r="E25">
        <f t="shared" si="5"/>
        <v>1.49129199406499</v>
      </c>
      <c r="F25" s="24">
        <v>98515230</v>
      </c>
      <c r="G25">
        <f t="shared" si="1"/>
        <v>65852250.395052418</v>
      </c>
      <c r="H25">
        <f t="shared" si="6"/>
        <v>2.4463693603436929</v>
      </c>
      <c r="I25" s="24">
        <v>80905556</v>
      </c>
      <c r="J25">
        <f t="shared" si="2"/>
        <v>54081109.408798374</v>
      </c>
      <c r="K25" s="39">
        <f t="shared" si="7"/>
        <v>-3.9881986705124434E-3</v>
      </c>
      <c r="L25" s="24">
        <v>27000229</v>
      </c>
      <c r="M25">
        <f t="shared" si="3"/>
        <v>18048233.159804385</v>
      </c>
      <c r="N25" s="39">
        <f t="shared" si="8"/>
        <v>6.3594116389062427E-2</v>
      </c>
      <c r="O25" s="34">
        <v>33742879</v>
      </c>
      <c r="P25">
        <f t="shared" si="4"/>
        <v>22555340.092673548</v>
      </c>
      <c r="Q25" s="39">
        <f t="shared" si="9"/>
        <v>4.7124047557944984E-2</v>
      </c>
    </row>
    <row r="26" spans="1:17" ht="15" thickBot="1" x14ac:dyDescent="0.35">
      <c r="A26" s="37" t="s">
        <v>16</v>
      </c>
      <c r="B26">
        <v>156.12469999999999</v>
      </c>
      <c r="C26" s="47">
        <v>269365184</v>
      </c>
      <c r="D26" s="47">
        <f t="shared" si="0"/>
        <v>172532074.68132848</v>
      </c>
      <c r="E26">
        <f t="shared" si="5"/>
        <v>3.0259237090556681</v>
      </c>
      <c r="F26" s="25">
        <v>107015763</v>
      </c>
      <c r="G26">
        <f t="shared" si="1"/>
        <v>68545055.971284509</v>
      </c>
      <c r="H26">
        <f t="shared" si="6"/>
        <v>4.0891625723916114</v>
      </c>
      <c r="I26" s="25">
        <v>85807124</v>
      </c>
      <c r="J26">
        <f t="shared" si="2"/>
        <v>54960633.391129017</v>
      </c>
      <c r="K26" s="39">
        <f t="shared" si="7"/>
        <v>1.6263053623444237E-2</v>
      </c>
      <c r="L26" s="25">
        <v>29233472</v>
      </c>
      <c r="M26">
        <f t="shared" si="3"/>
        <v>18724437.580984943</v>
      </c>
      <c r="N26" s="39">
        <f t="shared" si="8"/>
        <v>8.2712002183388894E-2</v>
      </c>
      <c r="O26" s="35">
        <v>36847959</v>
      </c>
      <c r="P26">
        <f t="shared" si="4"/>
        <v>23601620.371408243</v>
      </c>
      <c r="Q26" s="39">
        <f t="shared" si="9"/>
        <v>4.6387253503419761E-2</v>
      </c>
    </row>
    <row r="27" spans="1:17" ht="15" thickBot="1" x14ac:dyDescent="0.35">
      <c r="A27" s="37"/>
      <c r="D27" s="3"/>
      <c r="F27" s="24"/>
      <c r="I27" s="24"/>
      <c r="L27" s="24"/>
      <c r="O27" s="34"/>
    </row>
    <row r="28" spans="1:17" ht="15" thickBot="1" x14ac:dyDescent="0.35">
      <c r="A28" s="37"/>
      <c r="D28" s="3"/>
      <c r="F28" s="24"/>
      <c r="I28" s="24"/>
      <c r="L28" s="24"/>
      <c r="O28" s="34"/>
    </row>
    <row r="29" spans="1:17" ht="15" thickBot="1" x14ac:dyDescent="0.35">
      <c r="A29" s="38"/>
      <c r="C29" t="s">
        <v>116</v>
      </c>
      <c r="D29" s="3"/>
      <c r="F29" s="24"/>
      <c r="I29" s="24"/>
      <c r="L29" s="24"/>
      <c r="O29" s="34"/>
    </row>
    <row r="30" spans="1:17" x14ac:dyDescent="0.3">
      <c r="B30" t="s">
        <v>112</v>
      </c>
      <c r="C30" t="s">
        <v>117</v>
      </c>
      <c r="D30" t="s">
        <v>118</v>
      </c>
      <c r="E30" t="s">
        <v>119</v>
      </c>
      <c r="F30" t="s">
        <v>120</v>
      </c>
    </row>
    <row r="31" spans="1:17" x14ac:dyDescent="0.3">
      <c r="B31" t="s">
        <v>113</v>
      </c>
      <c r="C31">
        <f>AVERAGE(E3:E11)</f>
        <v>12.197121060823214</v>
      </c>
      <c r="D31">
        <f>AVERAGE(H3:H11)</f>
        <v>4.8886150055914461</v>
      </c>
      <c r="E31" s="48">
        <f>AVERAGE(K3:K11)*100</f>
        <v>34.505547616384504</v>
      </c>
      <c r="F31" s="39">
        <f>AVERAGE(Q3:Q11)</f>
        <v>0.92220070577588331</v>
      </c>
    </row>
    <row r="32" spans="1:17" x14ac:dyDescent="0.3">
      <c r="B32" t="s">
        <v>114</v>
      </c>
      <c r="C32">
        <f>AVERAGE(E12:E21)</f>
        <v>3.8312037020798142</v>
      </c>
      <c r="D32">
        <f>AVERAGE(H12:H21)</f>
        <v>5.4486451989402838</v>
      </c>
      <c r="E32" s="48">
        <f>AVERAGE(K12:K21)*100</f>
        <v>4.8870356636849843</v>
      </c>
      <c r="F32" s="39">
        <f>AVERAGE(Q12:Q21)</f>
        <v>8.9982463865368845E-2</v>
      </c>
    </row>
    <row r="33" spans="2:6" x14ac:dyDescent="0.3">
      <c r="B33" t="s">
        <v>115</v>
      </c>
      <c r="C33">
        <f>AVERAGE(E22:E26)</f>
        <v>2.1931454350485327</v>
      </c>
      <c r="D33">
        <f>AVERAGE(H22:H26)</f>
        <v>9.2816480122307879E-2</v>
      </c>
      <c r="E33" s="48">
        <f>AVERAGE(K22:K26)*100</f>
        <v>-0.36352324656997342</v>
      </c>
      <c r="F33" s="39">
        <f>AVERAGE(Q22:Q26)</f>
        <v>9.42091021840581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0" sqref="C30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opLeftCell="F1" workbookViewId="0">
      <selection activeCell="AD3" sqref="AD3:AF10"/>
    </sheetView>
  </sheetViews>
  <sheetFormatPr defaultRowHeight="14.4" x14ac:dyDescent="0.3"/>
  <cols>
    <col min="1" max="1" width="23.21875" customWidth="1"/>
    <col min="25" max="25" width="13.6640625" bestFit="1" customWidth="1"/>
    <col min="26" max="26" width="10.5546875" bestFit="1" customWidth="1"/>
    <col min="27" max="27" width="9.5546875" bestFit="1" customWidth="1"/>
    <col min="28" max="28" width="11.5546875" bestFit="1" customWidth="1"/>
    <col min="29" max="29" width="13.6640625" bestFit="1" customWidth="1"/>
  </cols>
  <sheetData>
    <row r="1" spans="1:32" x14ac:dyDescent="0.3">
      <c r="C1" t="s">
        <v>47</v>
      </c>
      <c r="F1" t="s">
        <v>51</v>
      </c>
      <c r="I1" t="s">
        <v>52</v>
      </c>
      <c r="L1" t="s">
        <v>53</v>
      </c>
      <c r="O1" t="s">
        <v>55</v>
      </c>
      <c r="R1" t="s">
        <v>56</v>
      </c>
      <c r="U1" t="s">
        <v>57</v>
      </c>
      <c r="X1" t="s">
        <v>54</v>
      </c>
      <c r="AA1" t="s">
        <v>60</v>
      </c>
      <c r="AD1" t="s">
        <v>59</v>
      </c>
    </row>
    <row r="2" spans="1:32" x14ac:dyDescent="0.3">
      <c r="C2" s="12" t="s">
        <v>48</v>
      </c>
      <c r="D2" t="s">
        <v>49</v>
      </c>
      <c r="E2" t="s">
        <v>50</v>
      </c>
      <c r="F2" s="12" t="s">
        <v>48</v>
      </c>
      <c r="G2" t="s">
        <v>49</v>
      </c>
      <c r="H2" t="s">
        <v>50</v>
      </c>
      <c r="I2" s="12" t="s">
        <v>48</v>
      </c>
      <c r="J2" t="s">
        <v>49</v>
      </c>
      <c r="K2" t="s">
        <v>50</v>
      </c>
      <c r="L2" s="12" t="s">
        <v>48</v>
      </c>
      <c r="M2" t="s">
        <v>49</v>
      </c>
      <c r="N2" t="s">
        <v>50</v>
      </c>
      <c r="O2" s="12" t="s">
        <v>48</v>
      </c>
      <c r="P2" t="s">
        <v>49</v>
      </c>
      <c r="Q2" t="s">
        <v>50</v>
      </c>
      <c r="R2" s="12" t="s">
        <v>48</v>
      </c>
      <c r="S2" t="s">
        <v>49</v>
      </c>
      <c r="T2" t="s">
        <v>50</v>
      </c>
      <c r="U2" s="12" t="s">
        <v>48</v>
      </c>
      <c r="V2" t="s">
        <v>49</v>
      </c>
      <c r="W2" t="s">
        <v>50</v>
      </c>
      <c r="X2" s="12" t="s">
        <v>48</v>
      </c>
      <c r="Y2" t="s">
        <v>49</v>
      </c>
      <c r="Z2" t="s">
        <v>50</v>
      </c>
      <c r="AA2" s="12" t="s">
        <v>48</v>
      </c>
      <c r="AB2" t="s">
        <v>49</v>
      </c>
      <c r="AC2" t="s">
        <v>50</v>
      </c>
      <c r="AD2" s="12" t="s">
        <v>48</v>
      </c>
      <c r="AE2" t="s">
        <v>49</v>
      </c>
      <c r="AF2" t="s">
        <v>50</v>
      </c>
    </row>
    <row r="3" spans="1:32" x14ac:dyDescent="0.3">
      <c r="A3" s="7" t="s">
        <v>45</v>
      </c>
      <c r="C3">
        <v>2561722</v>
      </c>
      <c r="D3">
        <v>2921176</v>
      </c>
      <c r="E3">
        <v>3226918</v>
      </c>
      <c r="F3">
        <v>1437105</v>
      </c>
      <c r="G3">
        <v>1578997</v>
      </c>
      <c r="H3">
        <v>1853083</v>
      </c>
      <c r="I3">
        <v>2704390</v>
      </c>
      <c r="J3">
        <v>2747222</v>
      </c>
      <c r="K3">
        <v>3254385</v>
      </c>
      <c r="L3">
        <v>833496</v>
      </c>
      <c r="M3">
        <v>912799</v>
      </c>
      <c r="N3">
        <v>1073615</v>
      </c>
      <c r="O3">
        <v>268359</v>
      </c>
      <c r="P3">
        <v>286220</v>
      </c>
      <c r="Q3">
        <v>328319</v>
      </c>
      <c r="R3">
        <v>927371</v>
      </c>
      <c r="S3">
        <v>976741</v>
      </c>
      <c r="T3">
        <v>1135107</v>
      </c>
      <c r="U3">
        <v>1848951</v>
      </c>
      <c r="V3">
        <v>1858247</v>
      </c>
      <c r="W3">
        <v>2376319</v>
      </c>
      <c r="X3" s="14">
        <f>(X22 - Y26)*Y13</f>
        <v>956330.63679159223</v>
      </c>
      <c r="Y3" s="14">
        <f>Y31*Y13</f>
        <v>1032732.0956239549</v>
      </c>
      <c r="Z3" s="14">
        <f>Z31*Y13</f>
        <v>1344539.8130145348</v>
      </c>
      <c r="AA3" s="14">
        <f>AA26*Y13</f>
        <v>621848.64764683193</v>
      </c>
      <c r="AB3" s="14">
        <f>AB26*Y13</f>
        <v>748622.87537125463</v>
      </c>
      <c r="AC3" s="14">
        <f>AC26*Y13</f>
        <v>1114161.1031400303</v>
      </c>
      <c r="AD3" s="14">
        <f>SUM(C3,F3,I3,L3,O3,R3,U3,X3,AA3)</f>
        <v>12159573.284438424</v>
      </c>
      <c r="AE3" s="14">
        <f t="shared" ref="AE3:AF10" si="0">SUM(D3,G3,J3,M3,P3,S3,V3,Y3,AB3)</f>
        <v>13062756.97099521</v>
      </c>
      <c r="AF3" s="14">
        <f t="shared" si="0"/>
        <v>15706446.916154565</v>
      </c>
    </row>
    <row r="4" spans="1:32" x14ac:dyDescent="0.3">
      <c r="A4" s="7" t="s">
        <v>46</v>
      </c>
      <c r="C4">
        <v>0</v>
      </c>
      <c r="D4">
        <v>0</v>
      </c>
      <c r="E4">
        <v>5142</v>
      </c>
      <c r="F4">
        <v>0</v>
      </c>
      <c r="G4">
        <v>0</v>
      </c>
      <c r="H4">
        <v>0</v>
      </c>
      <c r="I4">
        <v>5585</v>
      </c>
      <c r="J4">
        <v>5302</v>
      </c>
      <c r="K4">
        <v>5276</v>
      </c>
      <c r="L4">
        <v>1100</v>
      </c>
      <c r="M4">
        <v>1192</v>
      </c>
      <c r="N4">
        <v>1169</v>
      </c>
      <c r="O4">
        <v>2039</v>
      </c>
      <c r="P4">
        <v>2101</v>
      </c>
      <c r="Q4">
        <v>1720</v>
      </c>
      <c r="R4">
        <v>11040</v>
      </c>
      <c r="S4">
        <v>9504</v>
      </c>
      <c r="T4">
        <v>9195</v>
      </c>
      <c r="U4">
        <v>3867</v>
      </c>
      <c r="V4">
        <v>3229</v>
      </c>
      <c r="W4">
        <v>2970</v>
      </c>
      <c r="X4" s="14">
        <f>(X22 -Y26)*Y14</f>
        <v>2635.261816086077</v>
      </c>
      <c r="Y4" s="14">
        <f>Y31*Y14</f>
        <v>2845.7934454289048</v>
      </c>
      <c r="Z4" s="14">
        <f>Z31*Y14</f>
        <v>3705.0098502876576</v>
      </c>
      <c r="AA4" s="14">
        <f>AA26*Y14</f>
        <v>1713.5642564231491</v>
      </c>
      <c r="AB4" s="14">
        <f>AB26*Y14</f>
        <v>2062.9029356761666</v>
      </c>
      <c r="AC4" s="14">
        <f>AC26*Y14</f>
        <v>3070.1789727490577</v>
      </c>
      <c r="AD4" s="14">
        <f t="shared" ref="AD4:AD10" si="1">SUM(C4,F4,I4,L4,O4,R4,U4,X4,AA4)</f>
        <v>27979.826072509226</v>
      </c>
      <c r="AE4" s="14">
        <f t="shared" si="0"/>
        <v>26236.696381105074</v>
      </c>
      <c r="AF4" s="14">
        <f t="shared" si="0"/>
        <v>32247.188823036715</v>
      </c>
    </row>
    <row r="5" spans="1:32" x14ac:dyDescent="0.3">
      <c r="A5" s="7" t="s">
        <v>28</v>
      </c>
      <c r="C5">
        <v>822751</v>
      </c>
      <c r="D5">
        <v>856424</v>
      </c>
      <c r="E5">
        <v>1656229</v>
      </c>
      <c r="F5">
        <v>399475</v>
      </c>
      <c r="G5">
        <v>473276</v>
      </c>
      <c r="H5">
        <v>789247</v>
      </c>
      <c r="I5">
        <v>682252</v>
      </c>
      <c r="J5">
        <v>974113</v>
      </c>
      <c r="K5">
        <v>1482450</v>
      </c>
      <c r="L5">
        <v>233177</v>
      </c>
      <c r="M5">
        <v>265993</v>
      </c>
      <c r="N5">
        <v>352524</v>
      </c>
      <c r="O5">
        <v>205403</v>
      </c>
      <c r="P5">
        <v>213261</v>
      </c>
      <c r="Q5">
        <v>297289</v>
      </c>
      <c r="R5">
        <v>588975</v>
      </c>
      <c r="S5">
        <v>658165</v>
      </c>
      <c r="T5">
        <v>921511</v>
      </c>
      <c r="U5">
        <v>379602</v>
      </c>
      <c r="V5">
        <v>372607</v>
      </c>
      <c r="W5">
        <v>602813</v>
      </c>
      <c r="X5" s="14">
        <f>(X22-Y26)*Y15</f>
        <v>393022.63333088352</v>
      </c>
      <c r="Y5" s="14">
        <f>Y31*Y15</f>
        <v>424421.29545192147</v>
      </c>
      <c r="Z5" s="14">
        <f>Z31*Y15</f>
        <v>552564.72772015247</v>
      </c>
      <c r="AA5" s="14">
        <f>AA26*Y15</f>
        <v>255560.76907809812</v>
      </c>
      <c r="AB5" s="14">
        <f>AB26*Y15</f>
        <v>307661.09808763483</v>
      </c>
      <c r="AC5" s="14">
        <f>AC26*Y15</f>
        <v>457886.12626698043</v>
      </c>
      <c r="AD5" s="14">
        <f t="shared" si="1"/>
        <v>3960218.4024089817</v>
      </c>
      <c r="AE5" s="14">
        <f t="shared" si="0"/>
        <v>4545921.3935395563</v>
      </c>
      <c r="AF5" s="14">
        <f t="shared" si="0"/>
        <v>7112513.8539871331</v>
      </c>
    </row>
    <row r="6" spans="1:32" x14ac:dyDescent="0.3">
      <c r="A6" s="7" t="s">
        <v>29</v>
      </c>
      <c r="C6">
        <v>0</v>
      </c>
      <c r="D6">
        <v>0</v>
      </c>
      <c r="E6">
        <v>133354</v>
      </c>
      <c r="F6">
        <v>0</v>
      </c>
      <c r="G6">
        <v>0</v>
      </c>
      <c r="H6">
        <v>107426</v>
      </c>
      <c r="I6">
        <v>52968</v>
      </c>
      <c r="J6">
        <v>105244</v>
      </c>
      <c r="K6">
        <v>170966</v>
      </c>
      <c r="L6">
        <v>11577</v>
      </c>
      <c r="M6">
        <v>13221</v>
      </c>
      <c r="N6">
        <v>18704</v>
      </c>
      <c r="O6">
        <v>27306</v>
      </c>
      <c r="P6">
        <v>30670</v>
      </c>
      <c r="Q6">
        <v>42933</v>
      </c>
      <c r="R6">
        <v>91854</v>
      </c>
      <c r="S6">
        <v>98736</v>
      </c>
      <c r="T6">
        <v>120808</v>
      </c>
      <c r="U6">
        <v>16121</v>
      </c>
      <c r="V6">
        <v>24937</v>
      </c>
      <c r="W6">
        <v>47987</v>
      </c>
      <c r="X6" s="14">
        <f>(X22 - Y26)*Y16</f>
        <v>37051.498171062856</v>
      </c>
      <c r="Y6" s="14">
        <f>Y31*Y16</f>
        <v>40011.550273639921</v>
      </c>
      <c r="Z6" s="14">
        <f>Z31*Y16</f>
        <v>52092.040666982852</v>
      </c>
      <c r="AA6" s="14">
        <f>AA26*Y16</f>
        <v>24092.529450131558</v>
      </c>
      <c r="AB6" s="14">
        <f>AB26*Y16</f>
        <v>29004.193769940422</v>
      </c>
      <c r="AC6" s="14">
        <f>AC26*Y16</f>
        <v>43166.386694206063</v>
      </c>
      <c r="AD6" s="14">
        <f t="shared" si="1"/>
        <v>260970.0276211944</v>
      </c>
      <c r="AE6" s="14">
        <f t="shared" si="0"/>
        <v>341823.74404358031</v>
      </c>
      <c r="AF6" s="14">
        <f t="shared" si="0"/>
        <v>737436.42736118892</v>
      </c>
    </row>
    <row r="7" spans="1:32" x14ac:dyDescent="0.3">
      <c r="A7" s="7" t="s">
        <v>30</v>
      </c>
      <c r="C7">
        <v>0</v>
      </c>
      <c r="D7">
        <v>0</v>
      </c>
      <c r="E7">
        <v>93883</v>
      </c>
      <c r="F7">
        <v>0</v>
      </c>
      <c r="G7">
        <v>0</v>
      </c>
      <c r="H7">
        <v>50</v>
      </c>
      <c r="I7">
        <v>151265</v>
      </c>
      <c r="J7">
        <v>105061</v>
      </c>
      <c r="K7">
        <v>22783</v>
      </c>
      <c r="L7">
        <v>8686</v>
      </c>
      <c r="M7">
        <v>15899</v>
      </c>
      <c r="N7">
        <v>23043</v>
      </c>
      <c r="O7">
        <v>4847</v>
      </c>
      <c r="P7">
        <v>5929</v>
      </c>
      <c r="Q7">
        <v>10035</v>
      </c>
      <c r="R7">
        <v>18165</v>
      </c>
      <c r="S7">
        <v>27147</v>
      </c>
      <c r="T7">
        <v>41365</v>
      </c>
      <c r="U7">
        <v>17742</v>
      </c>
      <c r="V7">
        <v>30791</v>
      </c>
      <c r="W7">
        <v>58934</v>
      </c>
      <c r="X7" s="13">
        <f>(X22 - Y26)*Y17</f>
        <v>16720.416552164956</v>
      </c>
      <c r="Y7" s="14">
        <f>Y31*Y17</f>
        <v>18056.214201768624</v>
      </c>
      <c r="Z7" s="14">
        <f>Z31*Y17</f>
        <v>23507.838063199288</v>
      </c>
      <c r="AA7" s="14">
        <f>AA26*Y17</f>
        <v>10872.35734278935</v>
      </c>
      <c r="AB7" s="14">
        <f>AB26*Y17</f>
        <v>13088.868886059405</v>
      </c>
      <c r="AC7" s="14">
        <f>AC26*Y17</f>
        <v>19479.913153488873</v>
      </c>
      <c r="AD7" s="14">
        <f t="shared" si="1"/>
        <v>228297.7738949543</v>
      </c>
      <c r="AE7" s="14">
        <f t="shared" si="0"/>
        <v>215972.08308782804</v>
      </c>
      <c r="AF7" s="14">
        <f t="shared" si="0"/>
        <v>293080.75121668819</v>
      </c>
    </row>
    <row r="8" spans="1:32" x14ac:dyDescent="0.3">
      <c r="A8" s="7" t="s">
        <v>26</v>
      </c>
      <c r="C8">
        <v>297254</v>
      </c>
      <c r="D8">
        <v>437721</v>
      </c>
      <c r="E8">
        <v>703345</v>
      </c>
      <c r="F8">
        <v>189758</v>
      </c>
      <c r="G8">
        <v>283421</v>
      </c>
      <c r="H8">
        <v>456294</v>
      </c>
      <c r="I8">
        <v>189312</v>
      </c>
      <c r="J8">
        <v>504218</v>
      </c>
      <c r="K8">
        <v>1146327</v>
      </c>
      <c r="L8">
        <v>94835</v>
      </c>
      <c r="M8">
        <v>156776</v>
      </c>
      <c r="N8">
        <v>318441</v>
      </c>
      <c r="O8">
        <v>39966</v>
      </c>
      <c r="P8">
        <v>33887</v>
      </c>
      <c r="Q8">
        <v>74320</v>
      </c>
      <c r="R8">
        <v>109915</v>
      </c>
      <c r="S8">
        <v>126681</v>
      </c>
      <c r="T8">
        <v>312161</v>
      </c>
      <c r="U8">
        <v>156535</v>
      </c>
      <c r="V8">
        <v>437244</v>
      </c>
      <c r="W8">
        <v>936771</v>
      </c>
      <c r="X8" s="14">
        <f>(X22 - Y26)*Y18</f>
        <v>175332.33468435876</v>
      </c>
      <c r="Y8" s="14">
        <f>Y31*Y18</f>
        <v>189339.67235086951</v>
      </c>
      <c r="Z8" s="14">
        <f>Z31*Y18</f>
        <v>246506.06748603345</v>
      </c>
      <c r="AA8" s="14">
        <f>AA26*Y18</f>
        <v>114008.86996365312</v>
      </c>
      <c r="AB8" s="14">
        <f>AB26*Y18</f>
        <v>137251.48132587128</v>
      </c>
      <c r="AC8" s="14">
        <f>AC26*Y18</f>
        <v>204268.75383122682</v>
      </c>
      <c r="AD8" s="14">
        <f t="shared" si="1"/>
        <v>1366916.2046480118</v>
      </c>
      <c r="AE8" s="14">
        <f t="shared" si="0"/>
        <v>2306539.1536767408</v>
      </c>
      <c r="AF8" s="14">
        <f t="shared" si="0"/>
        <v>4398433.8213172602</v>
      </c>
    </row>
    <row r="9" spans="1:32" x14ac:dyDescent="0.3">
      <c r="A9" s="7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17</v>
      </c>
      <c r="S9">
        <v>13</v>
      </c>
      <c r="T9">
        <v>9</v>
      </c>
      <c r="U9">
        <v>0</v>
      </c>
      <c r="V9">
        <v>0</v>
      </c>
      <c r="W9">
        <v>0</v>
      </c>
      <c r="X9" s="14">
        <f>(X22 - Y26)*Y19</f>
        <v>1.514982608250343</v>
      </c>
      <c r="Y9" s="14">
        <f>Y31*Y19</f>
        <v>1.6360148924029294</v>
      </c>
      <c r="Z9" s="14">
        <f>Z31*Y19</f>
        <v>2.1299688146047449</v>
      </c>
      <c r="AA9" s="14">
        <f>AA26*Y19</f>
        <v>0.98510896744830556</v>
      </c>
      <c r="AB9" s="14">
        <f>AB26*Y19</f>
        <v>1.1859398754920092</v>
      </c>
      <c r="AC9" s="14">
        <f>AC26*Y19</f>
        <v>1.7650116278916248</v>
      </c>
      <c r="AD9" s="14">
        <f t="shared" si="1"/>
        <v>19.500091575698647</v>
      </c>
      <c r="AE9" s="14">
        <f t="shared" si="0"/>
        <v>15.821954767894939</v>
      </c>
      <c r="AF9" s="14">
        <f t="shared" si="0"/>
        <v>12.894980442496369</v>
      </c>
    </row>
    <row r="10" spans="1:32" x14ac:dyDescent="0.3">
      <c r="A10" s="7" t="s">
        <v>32</v>
      </c>
      <c r="C10">
        <v>460</v>
      </c>
      <c r="D10">
        <v>479</v>
      </c>
      <c r="E10">
        <v>6716</v>
      </c>
      <c r="F10">
        <v>870</v>
      </c>
      <c r="G10">
        <v>897</v>
      </c>
      <c r="H10">
        <v>1128</v>
      </c>
      <c r="I10">
        <v>3586</v>
      </c>
      <c r="J10">
        <v>3092</v>
      </c>
      <c r="K10">
        <v>2392</v>
      </c>
      <c r="L10">
        <v>86</v>
      </c>
      <c r="M10">
        <v>0</v>
      </c>
      <c r="N10">
        <v>815</v>
      </c>
      <c r="O10">
        <v>712</v>
      </c>
      <c r="P10">
        <v>1259</v>
      </c>
      <c r="Q10">
        <v>3841</v>
      </c>
      <c r="R10">
        <v>2345</v>
      </c>
      <c r="S10">
        <v>1739</v>
      </c>
      <c r="T10">
        <v>3204</v>
      </c>
      <c r="U10">
        <v>727</v>
      </c>
      <c r="V10">
        <v>6428</v>
      </c>
      <c r="W10">
        <v>6395</v>
      </c>
      <c r="X10" s="14">
        <f>(X22 - Y26)*Y20</f>
        <v>1615.203671243032</v>
      </c>
      <c r="Y10" s="14">
        <f>Y31*Y20</f>
        <v>1744.2426375239461</v>
      </c>
      <c r="Z10" s="14">
        <f>Z31*Y20</f>
        <v>2270.8732299943704</v>
      </c>
      <c r="AA10">
        <v>544</v>
      </c>
      <c r="AB10">
        <v>574</v>
      </c>
      <c r="AC10">
        <v>5200</v>
      </c>
      <c r="AD10" s="14">
        <f t="shared" si="1"/>
        <v>10945.203671243033</v>
      </c>
      <c r="AE10" s="14">
        <f t="shared" si="0"/>
        <v>16212.242637523947</v>
      </c>
      <c r="AF10" s="14">
        <f t="shared" si="0"/>
        <v>31961.873229994369</v>
      </c>
    </row>
    <row r="11" spans="1:32" x14ac:dyDescent="0.3">
      <c r="C11">
        <f>SUM(C3:C10)</f>
        <v>3682187</v>
      </c>
      <c r="D11">
        <f t="shared" ref="D11:N11" si="2">SUM(D3:D10)</f>
        <v>4215800</v>
      </c>
      <c r="E11">
        <f t="shared" si="2"/>
        <v>5825587</v>
      </c>
      <c r="F11">
        <f t="shared" si="2"/>
        <v>2027208</v>
      </c>
      <c r="G11">
        <f t="shared" si="2"/>
        <v>2336591</v>
      </c>
      <c r="H11">
        <f t="shared" si="2"/>
        <v>3207228</v>
      </c>
      <c r="I11">
        <f t="shared" si="2"/>
        <v>3789358</v>
      </c>
      <c r="J11">
        <f t="shared" si="2"/>
        <v>4444252</v>
      </c>
      <c r="K11">
        <f t="shared" si="2"/>
        <v>6084579</v>
      </c>
      <c r="L11">
        <f t="shared" si="2"/>
        <v>1182957</v>
      </c>
      <c r="M11">
        <f t="shared" si="2"/>
        <v>1365880</v>
      </c>
      <c r="N11">
        <f t="shared" si="2"/>
        <v>1788311</v>
      </c>
      <c r="O11">
        <f t="shared" ref="O11" si="3">SUM(O3:O10)</f>
        <v>548632</v>
      </c>
      <c r="P11">
        <f t="shared" ref="P11" si="4">SUM(P3:P10)</f>
        <v>573327</v>
      </c>
      <c r="Q11">
        <f t="shared" ref="Q11" si="5">SUM(Q3:Q10)</f>
        <v>758457</v>
      </c>
      <c r="R11">
        <f t="shared" ref="R11" si="6">SUM(R3:R10)</f>
        <v>1749682</v>
      </c>
      <c r="S11">
        <f t="shared" ref="S11" si="7">SUM(S3:S10)</f>
        <v>1898726</v>
      </c>
      <c r="T11">
        <f t="shared" ref="T11" si="8">SUM(T3:T10)</f>
        <v>2543360</v>
      </c>
      <c r="U11">
        <f t="shared" ref="U11" si="9">SUM(U3:U10)</f>
        <v>2423545</v>
      </c>
      <c r="V11">
        <f t="shared" ref="V11" si="10">SUM(V3:V10)</f>
        <v>2733483</v>
      </c>
      <c r="W11">
        <f t="shared" ref="W11" si="11">SUM(W3:W10)</f>
        <v>4032189</v>
      </c>
      <c r="X11" s="14">
        <f>SUM(X3:X10)</f>
        <v>1582709.4999999998</v>
      </c>
      <c r="Y11" s="14">
        <f>SUM(Y3:Y10)</f>
        <v>1709152.4999999998</v>
      </c>
      <c r="Z11" s="14">
        <f>SUM(Z3:Z10)</f>
        <v>2225188.4999999991</v>
      </c>
    </row>
    <row r="13" spans="1:32" x14ac:dyDescent="0.3">
      <c r="A13" s="7" t="s">
        <v>45</v>
      </c>
      <c r="C13">
        <f>C3/C11</f>
        <v>0.69570665476794091</v>
      </c>
      <c r="D13">
        <f>D3/D11</f>
        <v>0.69291142843588405</v>
      </c>
      <c r="E13">
        <f t="shared" ref="E13:W13" si="12">E3/E11</f>
        <v>0.55392151898169228</v>
      </c>
      <c r="F13">
        <f t="shared" si="12"/>
        <v>0.70890850864834787</v>
      </c>
      <c r="G13">
        <f t="shared" si="12"/>
        <v>0.67576952919873434</v>
      </c>
      <c r="H13">
        <f t="shared" si="12"/>
        <v>0.57778336931456076</v>
      </c>
      <c r="I13">
        <f t="shared" si="12"/>
        <v>0.71368025929458234</v>
      </c>
      <c r="J13">
        <f t="shared" si="12"/>
        <v>0.61815171596930152</v>
      </c>
      <c r="K13">
        <f t="shared" si="12"/>
        <v>0.53485787595164758</v>
      </c>
      <c r="L13">
        <f t="shared" si="12"/>
        <v>0.70458689538165797</v>
      </c>
      <c r="M13">
        <f t="shared" si="12"/>
        <v>0.66828637947696723</v>
      </c>
      <c r="N13">
        <f t="shared" si="12"/>
        <v>0.60035139301832852</v>
      </c>
      <c r="O13">
        <f t="shared" si="12"/>
        <v>0.48914208431152395</v>
      </c>
      <c r="P13">
        <f t="shared" si="12"/>
        <v>0.49922644494328716</v>
      </c>
      <c r="Q13">
        <f t="shared" si="12"/>
        <v>0.43287753953091607</v>
      </c>
      <c r="R13">
        <f t="shared" si="12"/>
        <v>0.53002259839216492</v>
      </c>
      <c r="S13">
        <f t="shared" si="12"/>
        <v>0.51441914209843864</v>
      </c>
      <c r="T13">
        <f t="shared" si="12"/>
        <v>0.44630213575742322</v>
      </c>
      <c r="U13">
        <f t="shared" si="12"/>
        <v>0.76291176767916424</v>
      </c>
      <c r="V13">
        <f t="shared" si="12"/>
        <v>0.67980923971358154</v>
      </c>
      <c r="W13">
        <f t="shared" si="12"/>
        <v>0.58933720616766727</v>
      </c>
      <c r="Y13">
        <f>AVERAGE(C13:W13)</f>
        <v>0.60423636604922903</v>
      </c>
      <c r="Z13" s="13">
        <f>Y13*100</f>
        <v>60.423636604922905</v>
      </c>
    </row>
    <row r="14" spans="1:32" x14ac:dyDescent="0.3">
      <c r="A14" s="7" t="s">
        <v>46</v>
      </c>
      <c r="C14">
        <f>C4/C11</f>
        <v>0</v>
      </c>
      <c r="D14">
        <f t="shared" ref="D14:W14" si="13">D4/D11</f>
        <v>0</v>
      </c>
      <c r="E14">
        <f t="shared" si="13"/>
        <v>8.8265783345094662E-4</v>
      </c>
      <c r="F14">
        <f t="shared" si="13"/>
        <v>0</v>
      </c>
      <c r="G14">
        <f t="shared" si="13"/>
        <v>0</v>
      </c>
      <c r="H14">
        <f t="shared" si="13"/>
        <v>0</v>
      </c>
      <c r="I14">
        <f t="shared" si="13"/>
        <v>1.47386443825049E-3</v>
      </c>
      <c r="J14">
        <f t="shared" si="13"/>
        <v>1.1930016569717469E-3</v>
      </c>
      <c r="K14">
        <f t="shared" si="13"/>
        <v>8.6711011558893397E-4</v>
      </c>
      <c r="L14">
        <f t="shared" si="13"/>
        <v>9.2987319065697231E-4</v>
      </c>
      <c r="M14">
        <f t="shared" si="13"/>
        <v>8.7269745512050842E-4</v>
      </c>
      <c r="N14">
        <f t="shared" si="13"/>
        <v>6.5368943097705043E-4</v>
      </c>
      <c r="O14">
        <f t="shared" si="13"/>
        <v>3.7165167179457267E-3</v>
      </c>
      <c r="P14">
        <f t="shared" si="13"/>
        <v>3.6645753644953057E-3</v>
      </c>
      <c r="Q14">
        <f t="shared" si="13"/>
        <v>2.2677620484747325E-3</v>
      </c>
      <c r="R14">
        <f t="shared" si="13"/>
        <v>6.3097179944698522E-3</v>
      </c>
      <c r="S14">
        <f t="shared" si="13"/>
        <v>5.0054615568544385E-3</v>
      </c>
      <c r="T14">
        <f t="shared" si="13"/>
        <v>3.6152963009562153E-3</v>
      </c>
      <c r="U14">
        <f t="shared" si="13"/>
        <v>1.5955965331776384E-3</v>
      </c>
      <c r="V14">
        <f t="shared" si="13"/>
        <v>1.1812767813079504E-3</v>
      </c>
      <c r="W14">
        <f t="shared" si="13"/>
        <v>7.3657261601576716E-4</v>
      </c>
      <c r="Y14">
        <f t="shared" ref="Y14:Y20" si="14">AVERAGE(C14:W14)</f>
        <v>1.6650319064149656E-3</v>
      </c>
      <c r="Z14" s="13">
        <f t="shared" ref="Z14:Z20" si="15">Y14*100</f>
        <v>0.16650319064149657</v>
      </c>
    </row>
    <row r="15" spans="1:32" x14ac:dyDescent="0.3">
      <c r="A15" s="7" t="s">
        <v>28</v>
      </c>
      <c r="C15">
        <f>C5/C11</f>
        <v>0.22344085186330842</v>
      </c>
      <c r="D15">
        <f t="shared" ref="D15:W15" si="16">D5/D11</f>
        <v>0.20314625931021396</v>
      </c>
      <c r="E15">
        <f t="shared" si="16"/>
        <v>0.28430250891455228</v>
      </c>
      <c r="F15">
        <f t="shared" si="16"/>
        <v>0.19705674010757654</v>
      </c>
      <c r="G15">
        <f t="shared" si="16"/>
        <v>0.20254978299582596</v>
      </c>
      <c r="H15">
        <f t="shared" si="16"/>
        <v>0.24608384561372001</v>
      </c>
      <c r="I15">
        <f t="shared" si="16"/>
        <v>0.18004421857211697</v>
      </c>
      <c r="J15">
        <f t="shared" si="16"/>
        <v>0.21918491570685011</v>
      </c>
      <c r="K15">
        <f t="shared" si="16"/>
        <v>0.24364052139022271</v>
      </c>
      <c r="L15">
        <f t="shared" si="16"/>
        <v>0.19711367361620075</v>
      </c>
      <c r="M15">
        <f t="shared" si="16"/>
        <v>0.19474111927841392</v>
      </c>
      <c r="N15">
        <f t="shared" si="16"/>
        <v>0.19712678611270634</v>
      </c>
      <c r="O15">
        <f t="shared" si="16"/>
        <v>0.37439121305355866</v>
      </c>
      <c r="P15">
        <f t="shared" si="16"/>
        <v>0.37197096944675551</v>
      </c>
      <c r="Q15">
        <f t="shared" si="16"/>
        <v>0.39196553001686318</v>
      </c>
      <c r="R15">
        <f t="shared" si="16"/>
        <v>0.3366183112131233</v>
      </c>
      <c r="S15">
        <f t="shared" si="16"/>
        <v>0.34663505950832296</v>
      </c>
      <c r="T15">
        <f t="shared" si="16"/>
        <v>0.36232031643180673</v>
      </c>
      <c r="U15">
        <f t="shared" si="16"/>
        <v>0.15663088574794362</v>
      </c>
      <c r="V15">
        <f t="shared" si="16"/>
        <v>0.13631217022384995</v>
      </c>
      <c r="W15">
        <f t="shared" si="16"/>
        <v>0.14950018463916251</v>
      </c>
      <c r="Y15">
        <f t="shared" si="14"/>
        <v>0.24832266017919494</v>
      </c>
      <c r="Z15" s="13">
        <f t="shared" si="15"/>
        <v>24.832266017919494</v>
      </c>
    </row>
    <row r="16" spans="1:32" x14ac:dyDescent="0.3">
      <c r="A16" s="7" t="s">
        <v>29</v>
      </c>
      <c r="C16">
        <f>C6/C11</f>
        <v>0</v>
      </c>
      <c r="D16">
        <f t="shared" ref="D16:W16" si="17">D6/D11</f>
        <v>0</v>
      </c>
      <c r="E16">
        <f t="shared" si="17"/>
        <v>2.289108376546432E-2</v>
      </c>
      <c r="F16">
        <f t="shared" si="17"/>
        <v>0</v>
      </c>
      <c r="G16">
        <f t="shared" si="17"/>
        <v>0</v>
      </c>
      <c r="H16">
        <f t="shared" si="17"/>
        <v>3.3494968240486797E-2</v>
      </c>
      <c r="I16">
        <f t="shared" si="17"/>
        <v>1.3978093386795336E-2</v>
      </c>
      <c r="J16">
        <f t="shared" si="17"/>
        <v>2.3680925384069129E-2</v>
      </c>
      <c r="K16">
        <f t="shared" si="17"/>
        <v>2.8098246402914646E-2</v>
      </c>
      <c r="L16">
        <f t="shared" si="17"/>
        <v>9.7864926620325164E-3</v>
      </c>
      <c r="M16">
        <f t="shared" si="17"/>
        <v>9.6794740387149674E-3</v>
      </c>
      <c r="N16">
        <f t="shared" si="17"/>
        <v>1.0459030895632807E-2</v>
      </c>
      <c r="O16">
        <f t="shared" si="17"/>
        <v>4.9771066944691522E-2</v>
      </c>
      <c r="P16">
        <f t="shared" si="17"/>
        <v>5.349477697718754E-2</v>
      </c>
      <c r="Q16">
        <f t="shared" si="17"/>
        <v>5.6605713969282372E-2</v>
      </c>
      <c r="R16">
        <f t="shared" si="17"/>
        <v>5.2497539552901616E-2</v>
      </c>
      <c r="S16">
        <f t="shared" si="17"/>
        <v>5.2001183951765555E-2</v>
      </c>
      <c r="T16">
        <f t="shared" si="17"/>
        <v>4.7499370910920984E-2</v>
      </c>
      <c r="U16">
        <f t="shared" si="17"/>
        <v>6.6518261472347327E-3</v>
      </c>
      <c r="V16">
        <f t="shared" si="17"/>
        <v>9.1227931543748399E-3</v>
      </c>
      <c r="W16">
        <f t="shared" si="17"/>
        <v>1.1900979839982699E-2</v>
      </c>
      <c r="Y16">
        <f t="shared" si="14"/>
        <v>2.3410169820212018E-2</v>
      </c>
      <c r="Z16" s="13">
        <f t="shared" si="15"/>
        <v>2.3410169820212019</v>
      </c>
    </row>
    <row r="17" spans="1:29" x14ac:dyDescent="0.3">
      <c r="A17" s="7" t="s">
        <v>30</v>
      </c>
      <c r="C17">
        <f>C7/C11</f>
        <v>0</v>
      </c>
      <c r="D17">
        <f t="shared" ref="D17:W17" si="18">D7/D11</f>
        <v>0</v>
      </c>
      <c r="E17">
        <f t="shared" si="18"/>
        <v>1.6115629206121203E-2</v>
      </c>
      <c r="F17">
        <f t="shared" si="18"/>
        <v>0</v>
      </c>
      <c r="G17">
        <f t="shared" si="18"/>
        <v>0</v>
      </c>
      <c r="H17">
        <f t="shared" si="18"/>
        <v>1.5589786569585946E-5</v>
      </c>
      <c r="I17">
        <f t="shared" si="18"/>
        <v>3.9918371396949037E-2</v>
      </c>
      <c r="J17">
        <f t="shared" si="18"/>
        <v>2.3639748601114428E-2</v>
      </c>
      <c r="K17">
        <f t="shared" si="18"/>
        <v>3.7443839581999018E-3</v>
      </c>
      <c r="L17">
        <f t="shared" si="18"/>
        <v>7.3426168491331472E-3</v>
      </c>
      <c r="M17">
        <f t="shared" si="18"/>
        <v>1.1640114797786042E-2</v>
      </c>
      <c r="N17">
        <f t="shared" si="18"/>
        <v>1.2885342650131883E-2</v>
      </c>
      <c r="O17">
        <f t="shared" si="18"/>
        <v>8.834701585033319E-3</v>
      </c>
      <c r="P17">
        <f t="shared" si="18"/>
        <v>1.0341393306088846E-2</v>
      </c>
      <c r="Q17">
        <f t="shared" si="18"/>
        <v>1.323080939328136E-2</v>
      </c>
      <c r="R17">
        <f t="shared" si="18"/>
        <v>1.0381886537096456E-2</v>
      </c>
      <c r="S17">
        <f t="shared" si="18"/>
        <v>1.4297481574487314E-2</v>
      </c>
      <c r="T17">
        <f t="shared" si="18"/>
        <v>1.6263918595873176E-2</v>
      </c>
      <c r="U17">
        <f t="shared" si="18"/>
        <v>7.3206810684348757E-3</v>
      </c>
      <c r="V17">
        <f t="shared" si="18"/>
        <v>1.126438320633419E-2</v>
      </c>
      <c r="W17">
        <f t="shared" si="18"/>
        <v>1.4615882340832734E-2</v>
      </c>
      <c r="Y17">
        <f t="shared" si="14"/>
        <v>1.0564425469212737E-2</v>
      </c>
      <c r="Z17" s="13">
        <f t="shared" si="15"/>
        <v>1.0564425469212737</v>
      </c>
    </row>
    <row r="18" spans="1:29" x14ac:dyDescent="0.3">
      <c r="A18" s="7" t="s">
        <v>26</v>
      </c>
      <c r="C18">
        <f>C8/C11</f>
        <v>8.0727567611313597E-2</v>
      </c>
      <c r="D18">
        <f t="shared" ref="D18:W18" si="19">D8/D11</f>
        <v>0.10382869206319086</v>
      </c>
      <c r="E18">
        <f t="shared" si="19"/>
        <v>0.12073375610045821</v>
      </c>
      <c r="F18">
        <f t="shared" si="19"/>
        <v>9.3605589559630789E-2</v>
      </c>
      <c r="G18">
        <f t="shared" si="19"/>
        <v>0.12129679520292597</v>
      </c>
      <c r="H18">
        <f t="shared" si="19"/>
        <v>0.14227052145965302</v>
      </c>
      <c r="I18">
        <f t="shared" si="19"/>
        <v>4.9958858466262621E-2</v>
      </c>
      <c r="J18">
        <f t="shared" si="19"/>
        <v>0.11345396255657871</v>
      </c>
      <c r="K18">
        <f t="shared" si="19"/>
        <v>0.18839873720104547</v>
      </c>
      <c r="L18">
        <f t="shared" si="19"/>
        <v>8.016774912359452E-2</v>
      </c>
      <c r="M18">
        <f t="shared" si="19"/>
        <v>0.11478021495299734</v>
      </c>
      <c r="N18">
        <f t="shared" si="19"/>
        <v>0.1780680206071539</v>
      </c>
      <c r="O18">
        <f t="shared" si="19"/>
        <v>7.2846644016389864E-2</v>
      </c>
      <c r="P18">
        <f t="shared" si="19"/>
        <v>5.910588547199068E-2</v>
      </c>
      <c r="Q18">
        <f t="shared" si="19"/>
        <v>9.7988415955024472E-2</v>
      </c>
      <c r="R18">
        <f t="shared" si="19"/>
        <v>6.2819986717586401E-2</v>
      </c>
      <c r="S18">
        <f t="shared" si="19"/>
        <v>6.6718947336266529E-2</v>
      </c>
      <c r="T18">
        <f t="shared" si="19"/>
        <v>0.12273567249622547</v>
      </c>
      <c r="U18">
        <f t="shared" si="19"/>
        <v>6.4589269025332727E-2</v>
      </c>
      <c r="V18">
        <f t="shared" si="19"/>
        <v>0.15995855836674308</v>
      </c>
      <c r="W18">
        <f t="shared" si="19"/>
        <v>0.2323231872315509</v>
      </c>
      <c r="Y18">
        <f t="shared" si="14"/>
        <v>0.11077985864390071</v>
      </c>
      <c r="Z18" s="13">
        <f t="shared" si="15"/>
        <v>11.077985864390071</v>
      </c>
    </row>
    <row r="19" spans="1:29" x14ac:dyDescent="0.3">
      <c r="A19" s="7" t="s">
        <v>31</v>
      </c>
      <c r="C19">
        <f>C9/C11</f>
        <v>0</v>
      </c>
      <c r="D19">
        <f t="shared" ref="D19:W19" si="20">D9/D11</f>
        <v>0</v>
      </c>
      <c r="E19">
        <f t="shared" si="20"/>
        <v>0</v>
      </c>
      <c r="F19">
        <f t="shared" si="20"/>
        <v>0</v>
      </c>
      <c r="G19">
        <f t="shared" si="20"/>
        <v>0</v>
      </c>
      <c r="H19">
        <f t="shared" si="20"/>
        <v>0</v>
      </c>
      <c r="I19">
        <f t="shared" si="20"/>
        <v>0</v>
      </c>
      <c r="J19">
        <f t="shared" si="20"/>
        <v>0</v>
      </c>
      <c r="K19">
        <f t="shared" si="20"/>
        <v>0</v>
      </c>
      <c r="L19">
        <f t="shared" si="20"/>
        <v>0</v>
      </c>
      <c r="M19">
        <f t="shared" si="20"/>
        <v>0</v>
      </c>
      <c r="N19">
        <f t="shared" si="20"/>
        <v>0</v>
      </c>
      <c r="O19">
        <f t="shared" si="20"/>
        <v>0</v>
      </c>
      <c r="P19">
        <f t="shared" si="20"/>
        <v>0</v>
      </c>
      <c r="Q19">
        <f t="shared" si="20"/>
        <v>0</v>
      </c>
      <c r="R19">
        <f t="shared" si="20"/>
        <v>9.7160512596003155E-6</v>
      </c>
      <c r="S19">
        <f t="shared" si="20"/>
        <v>6.8466961531047661E-6</v>
      </c>
      <c r="T19">
        <f t="shared" si="20"/>
        <v>3.5386260694514342E-6</v>
      </c>
      <c r="U19">
        <f t="shared" si="20"/>
        <v>0</v>
      </c>
      <c r="V19">
        <f t="shared" si="20"/>
        <v>0</v>
      </c>
      <c r="W19">
        <f t="shared" si="20"/>
        <v>0</v>
      </c>
      <c r="Y19">
        <f t="shared" si="14"/>
        <v>9.5720826105507231E-7</v>
      </c>
      <c r="Z19" s="13">
        <f t="shared" si="15"/>
        <v>9.5720826105507228E-5</v>
      </c>
    </row>
    <row r="20" spans="1:29" x14ac:dyDescent="0.3">
      <c r="A20" s="7" t="s">
        <v>32</v>
      </c>
      <c r="C20">
        <f>C10/C11</f>
        <v>1.2492575743708835E-4</v>
      </c>
      <c r="D20">
        <f t="shared" ref="D20:W20" si="21">D10/D11</f>
        <v>1.136201907111343E-4</v>
      </c>
      <c r="E20">
        <f t="shared" si="21"/>
        <v>1.1528451982607075E-3</v>
      </c>
      <c r="F20">
        <f t="shared" si="21"/>
        <v>4.2916168444481279E-4</v>
      </c>
      <c r="G20">
        <f t="shared" si="21"/>
        <v>3.83892602513662E-4</v>
      </c>
      <c r="H20">
        <f t="shared" si="21"/>
        <v>3.5170558500985898E-4</v>
      </c>
      <c r="I20">
        <f t="shared" si="21"/>
        <v>9.4633444504319724E-4</v>
      </c>
      <c r="J20">
        <f t="shared" si="21"/>
        <v>6.9573012511441751E-4</v>
      </c>
      <c r="K20">
        <f t="shared" si="21"/>
        <v>3.9312498038072974E-4</v>
      </c>
      <c r="L20">
        <f t="shared" si="21"/>
        <v>7.2699176724090565E-5</v>
      </c>
      <c r="M20">
        <f t="shared" si="21"/>
        <v>0</v>
      </c>
      <c r="N20">
        <f t="shared" si="21"/>
        <v>4.5573728506954328E-4</v>
      </c>
      <c r="O20">
        <f t="shared" si="21"/>
        <v>1.2977733708569679E-3</v>
      </c>
      <c r="P20">
        <f t="shared" si="21"/>
        <v>2.1959544901949497E-3</v>
      </c>
      <c r="Q20">
        <f t="shared" si="21"/>
        <v>5.0642290861578178E-3</v>
      </c>
      <c r="R20">
        <f t="shared" si="21"/>
        <v>1.3402435413978084E-3</v>
      </c>
      <c r="S20">
        <f t="shared" si="21"/>
        <v>9.1587727771147605E-4</v>
      </c>
      <c r="T20">
        <f t="shared" si="21"/>
        <v>1.2597508807247106E-3</v>
      </c>
      <c r="U20">
        <f t="shared" si="21"/>
        <v>2.9997379871221701E-4</v>
      </c>
      <c r="V20">
        <f t="shared" si="21"/>
        <v>2.3515785538084561E-3</v>
      </c>
      <c r="W20">
        <f t="shared" si="21"/>
        <v>1.5859871647881585E-3</v>
      </c>
      <c r="Y20">
        <f t="shared" si="14"/>
        <v>1.0205307235743716E-3</v>
      </c>
      <c r="Z20" s="13">
        <f t="shared" si="15"/>
        <v>0.10205307235743716</v>
      </c>
    </row>
    <row r="22" spans="1:29" x14ac:dyDescent="0.3">
      <c r="X22">
        <v>1693081</v>
      </c>
      <c r="Y22">
        <v>1821437</v>
      </c>
      <c r="Z22">
        <v>2399470</v>
      </c>
    </row>
    <row r="25" spans="1:29" x14ac:dyDescent="0.3">
      <c r="Y25" t="s">
        <v>58</v>
      </c>
      <c r="AA25">
        <v>61666</v>
      </c>
      <c r="AB25">
        <v>75336</v>
      </c>
      <c r="AC25">
        <v>114650</v>
      </c>
    </row>
    <row r="26" spans="1:29" x14ac:dyDescent="0.3">
      <c r="Y26" s="14">
        <f>AVERAGE(101223,99185,114544,126534)</f>
        <v>110371.5</v>
      </c>
      <c r="AA26">
        <v>1029148</v>
      </c>
      <c r="AB26">
        <v>1238957</v>
      </c>
      <c r="AC26">
        <v>1843916</v>
      </c>
    </row>
    <row r="28" spans="1:29" x14ac:dyDescent="0.3">
      <c r="Y28">
        <v>1913</v>
      </c>
      <c r="Z28">
        <v>593</v>
      </c>
    </row>
    <row r="29" spans="1:29" x14ac:dyDescent="0.3">
      <c r="Z29">
        <v>63317</v>
      </c>
    </row>
    <row r="30" spans="1:29" x14ac:dyDescent="0.3">
      <c r="Y30" s="14">
        <f>Y26+Y28</f>
        <v>112284.5</v>
      </c>
      <c r="Z30" s="14">
        <f>SUM(Y26,Z28,Z29)</f>
        <v>174281.5</v>
      </c>
    </row>
    <row r="31" spans="1:29" x14ac:dyDescent="0.3">
      <c r="Y31" s="14">
        <f>Y22-Y30</f>
        <v>1709152.5</v>
      </c>
      <c r="Z31" s="14">
        <f>Z22-Z30</f>
        <v>2225188.5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"/>
  <sheetViews>
    <sheetView topLeftCell="J1" workbookViewId="0">
      <selection activeCell="AC14" sqref="AC14"/>
    </sheetView>
  </sheetViews>
  <sheetFormatPr defaultRowHeight="14.4" x14ac:dyDescent="0.3"/>
  <cols>
    <col min="1" max="1" width="22.109375" customWidth="1"/>
    <col min="27" max="33" width="13.33203125" bestFit="1" customWidth="1"/>
  </cols>
  <sheetData>
    <row r="1" spans="1:36" s="11" customFormat="1" ht="15" thickBot="1" x14ac:dyDescent="0.35">
      <c r="A1" s="36"/>
      <c r="B1" s="37" t="s">
        <v>0</v>
      </c>
      <c r="C1" s="37" t="s">
        <v>1</v>
      </c>
      <c r="D1" s="37" t="s">
        <v>2</v>
      </c>
      <c r="E1" s="37" t="s">
        <v>3</v>
      </c>
      <c r="F1" s="38" t="s">
        <v>44</v>
      </c>
      <c r="G1" s="11" t="s">
        <v>43</v>
      </c>
      <c r="H1" s="11" t="s">
        <v>42</v>
      </c>
      <c r="I1" s="11" t="s">
        <v>41</v>
      </c>
      <c r="J1" s="11" t="s">
        <v>40</v>
      </c>
      <c r="K1" s="11" t="s">
        <v>39</v>
      </c>
      <c r="L1" s="11" t="s">
        <v>38</v>
      </c>
      <c r="M1" s="11" t="s">
        <v>37</v>
      </c>
      <c r="N1" s="11" t="s">
        <v>36</v>
      </c>
      <c r="O1" s="11" t="s">
        <v>35</v>
      </c>
      <c r="P1" s="11" t="s">
        <v>34</v>
      </c>
      <c r="Q1" s="11" t="s">
        <v>33</v>
      </c>
      <c r="R1" s="37" t="s">
        <v>4</v>
      </c>
      <c r="S1" s="37" t="s">
        <v>5</v>
      </c>
      <c r="T1" s="37" t="s">
        <v>6</v>
      </c>
      <c r="U1" s="37" t="s">
        <v>7</v>
      </c>
      <c r="V1" s="37" t="s">
        <v>8</v>
      </c>
      <c r="W1" s="37" t="s">
        <v>9</v>
      </c>
      <c r="X1" s="37" t="s">
        <v>10</v>
      </c>
      <c r="Y1" s="37" t="s">
        <v>11</v>
      </c>
      <c r="Z1" s="37" t="s">
        <v>12</v>
      </c>
      <c r="AA1" s="37" t="s">
        <v>13</v>
      </c>
      <c r="AB1" s="37" t="s">
        <v>14</v>
      </c>
      <c r="AC1" s="37" t="s">
        <v>15</v>
      </c>
      <c r="AD1" s="37" t="s">
        <v>16</v>
      </c>
      <c r="AE1" s="37" t="s">
        <v>17</v>
      </c>
      <c r="AF1" s="37" t="s">
        <v>18</v>
      </c>
      <c r="AG1" s="38" t="s">
        <v>19</v>
      </c>
      <c r="AH1" s="38" t="s">
        <v>20</v>
      </c>
      <c r="AI1" s="38" t="s">
        <v>21</v>
      </c>
      <c r="AJ1" s="38" t="s">
        <v>22</v>
      </c>
    </row>
    <row r="2" spans="1:36" x14ac:dyDescent="0.3">
      <c r="A2" s="7" t="s">
        <v>45</v>
      </c>
      <c r="AA2" s="44">
        <v>3800000</v>
      </c>
      <c r="AB2" s="44">
        <v>3900000</v>
      </c>
      <c r="AC2" s="44">
        <v>4000000</v>
      </c>
      <c r="AD2" s="44">
        <v>4100000</v>
      </c>
      <c r="AE2" s="44">
        <v>4300000</v>
      </c>
      <c r="AF2" s="44">
        <v>4400000</v>
      </c>
      <c r="AG2" s="45">
        <v>4500000</v>
      </c>
    </row>
    <row r="3" spans="1:36" x14ac:dyDescent="0.3">
      <c r="A3" s="7" t="s">
        <v>46</v>
      </c>
      <c r="AA3" s="44" t="s">
        <v>73</v>
      </c>
      <c r="AB3" s="44" t="s">
        <v>74</v>
      </c>
      <c r="AC3" s="44" t="s">
        <v>75</v>
      </c>
      <c r="AD3" s="44" t="s">
        <v>76</v>
      </c>
      <c r="AE3" s="44" t="s">
        <v>76</v>
      </c>
      <c r="AF3" s="44" t="s">
        <v>77</v>
      </c>
      <c r="AG3" s="45" t="s">
        <v>78</v>
      </c>
    </row>
    <row r="4" spans="1:36" x14ac:dyDescent="0.3">
      <c r="A4" s="7" t="s">
        <v>28</v>
      </c>
      <c r="AA4" s="44">
        <v>1000000</v>
      </c>
      <c r="AB4" s="44">
        <v>1000000</v>
      </c>
      <c r="AC4" s="44">
        <v>1100000</v>
      </c>
      <c r="AD4" s="44">
        <v>1100000</v>
      </c>
      <c r="AE4" s="44">
        <v>1100000</v>
      </c>
      <c r="AF4" s="44">
        <v>1100000</v>
      </c>
      <c r="AG4" s="45">
        <v>1100000</v>
      </c>
    </row>
    <row r="5" spans="1:36" x14ac:dyDescent="0.3">
      <c r="A5" s="7" t="s">
        <v>29</v>
      </c>
      <c r="AA5" s="44" t="s">
        <v>79</v>
      </c>
      <c r="AB5" s="44">
        <v>274130</v>
      </c>
      <c r="AC5" s="44" t="s">
        <v>80</v>
      </c>
      <c r="AD5" s="44" t="s">
        <v>81</v>
      </c>
      <c r="AE5" s="44" t="s">
        <v>82</v>
      </c>
      <c r="AF5" s="44" t="s">
        <v>83</v>
      </c>
      <c r="AG5" s="45" t="s">
        <v>84</v>
      </c>
    </row>
    <row r="6" spans="1:36" x14ac:dyDescent="0.3">
      <c r="A6" s="7" t="s">
        <v>30</v>
      </c>
      <c r="AA6" s="44" t="s">
        <v>85</v>
      </c>
      <c r="AB6" s="44" t="s">
        <v>86</v>
      </c>
      <c r="AC6" s="44" t="s">
        <v>87</v>
      </c>
      <c r="AD6" s="44" t="s">
        <v>88</v>
      </c>
      <c r="AE6" s="44" t="s">
        <v>89</v>
      </c>
      <c r="AF6" s="44" t="s">
        <v>90</v>
      </c>
      <c r="AG6" s="45" t="s">
        <v>91</v>
      </c>
    </row>
    <row r="7" spans="1:36" x14ac:dyDescent="0.3">
      <c r="A7" s="7" t="s">
        <v>26</v>
      </c>
      <c r="AA7" s="44">
        <v>13200000</v>
      </c>
      <c r="AB7" s="44">
        <v>13100000</v>
      </c>
      <c r="AC7" s="44">
        <v>13200000</v>
      </c>
      <c r="AD7" s="44">
        <v>13400000</v>
      </c>
      <c r="AE7" s="44">
        <v>13200000</v>
      </c>
      <c r="AF7" s="44">
        <v>13300000</v>
      </c>
      <c r="AG7" s="45">
        <v>13300000</v>
      </c>
    </row>
    <row r="8" spans="1:36" x14ac:dyDescent="0.3">
      <c r="A8" s="7" t="s">
        <v>31</v>
      </c>
    </row>
    <row r="9" spans="1:36" x14ac:dyDescent="0.3">
      <c r="A9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Expenditure - National</vt:lpstr>
      <vt:lpstr>Sheet3</vt:lpstr>
      <vt:lpstr>Deflated data</vt:lpstr>
      <vt:lpstr>Sheet2</vt:lpstr>
      <vt:lpstr>Expenditure - Provinicial</vt:lpstr>
      <vt:lpstr>Number of beneficaries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Siyanda Baduza</dc:creator>
  <cp:lastModifiedBy>Siyanda Baduza</cp:lastModifiedBy>
  <dcterms:created xsi:type="dcterms:W3CDTF">2025-06-24T13:38:43Z</dcterms:created>
  <dcterms:modified xsi:type="dcterms:W3CDTF">2025-10-18T18:13:21Z</dcterms:modified>
</cp:coreProperties>
</file>